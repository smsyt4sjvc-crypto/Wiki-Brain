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vel Log" sheetId="1" state="visible" r:id="rId3"/>
    <sheet name="Hub Tally" sheetId="2" state="visible" r:id="rId4"/>
    <sheet name="Set-Piece Calendar" sheetId="3" state="visible" r:id="rId5"/>
    <sheet name="Method &amp; Rubric" sheetId="4" state="visible" r:id="rId6"/>
  </sheets>
  <definedNames>
    <definedName function="false" hidden="true" localSheetId="0" name="_xlnm._FilterDatabase" vbProcedure="false">'Travel Log'!$A$1:$N$18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<sst xmlns="http://schemas.openxmlformats.org/spreadsheetml/2006/main" count="362" uniqueCount="210">
  <si>
    <t xml:space="preserve">Date</t>
  </si>
  <si>
    <t xml:space="preserve">CEO</t>
  </si>
  <si>
    <t xml:space="preserve">Co.</t>
  </si>
  <si>
    <t xml:space="preserve">Destination</t>
  </si>
  <si>
    <t xml:space="preserve">Hub</t>
  </si>
  <si>
    <t xml:space="preserve">Counterparty / Event</t>
  </si>
  <si>
    <t xml:space="preserve">Stated Purpose</t>
  </si>
  <si>
    <t xml:space="preserve">Linked Entity (Ticker)</t>
  </si>
  <si>
    <t xml:space="preserve">Framework Tie</t>
  </si>
  <si>
    <t xml:space="preserve">Trip Type</t>
  </si>
  <si>
    <t xml:space="preserve">Signal</t>
  </si>
  <si>
    <t xml:space="preserve">Conf.</t>
  </si>
  <si>
    <t xml:space="preserve">Source</t>
  </si>
  <si>
    <t xml:space="preserve">Notes</t>
  </si>
  <si>
    <t xml:space="preserve">2026-05-23</t>
  </si>
  <si>
    <t xml:space="preserve">Huang</t>
  </si>
  <si>
    <t xml:space="preserve">NVDA</t>
  </si>
  <si>
    <t xml:space="preserve">Taipei, Taiwan</t>
  </si>
  <si>
    <t xml:space="preserve">Taiwan</t>
  </si>
  <si>
    <t xml:space="preserve">TSMC (C.C. Wei), Foxconn (Young Liu), MediaTek, Delta; Computex + GTC Week</t>
  </si>
  <si>
    <t xml:space="preserve">Supply-chain mgmt; Vera Rubin partners; Taipei HQ groundbreak May 27</t>
  </si>
  <si>
    <t xml:space="preserve">TSM, Foxconn(2317), MediaTek, Delta</t>
  </si>
  <si>
    <t xml:space="preserve">Vertical Integration Bifurcation / Second Order</t>
  </si>
  <si>
    <t xml:space="preserve">Scheduled set-piece</t>
  </si>
  <si>
    <t xml:space="preserve">Coincident</t>
  </si>
  <si>
    <t xml:space="preserve">Taiwan News / Focus Taiwan, 5/23/26</t>
  </si>
  <si>
    <t xml:space="preserve">Recurring (Jan + June yearly). HQ groundbreak = physical commitment, watch.</t>
  </si>
  <si>
    <t xml:space="preserve">2026-01-24</t>
  </si>
  <si>
    <t xml:space="preserve">Shanghai→Beijing→Shenzhen→Taiwan</t>
  </si>
  <si>
    <t xml:space="preserve">China-Mainland</t>
  </si>
  <si>
    <t xml:space="preserve">Nvidia China staff (Lunar NY); regulators</t>
  </si>
  <si>
    <t xml:space="preserve">Routine annual visit; China $50B opportunity amid local competition</t>
  </si>
  <si>
    <t xml:space="preserve">China market</t>
  </si>
  <si>
    <t xml:space="preserve">China access / export-control</t>
  </si>
  <si>
    <t xml:space="preserve">Routine-recurring</t>
  </si>
  <si>
    <t xml:space="preserve">Reuters/AOL, 1/24/26</t>
  </si>
  <si>
    <t xml:space="preserve">Routed China→Taiwan in one trip; standard cadence.</t>
  </si>
  <si>
    <t xml:space="preserve">~2026-05-13</t>
  </si>
  <si>
    <t xml:space="preserve">Beijing, China</t>
  </si>
  <si>
    <t xml:space="preserve">Trump delegation; Xi summit</t>
  </si>
  <si>
    <t xml:space="preserve">Last-minute add; chip-export leeway in China</t>
  </si>
  <si>
    <t xml:space="preserve">China realignment / Hollow Bottom (political)</t>
  </si>
  <si>
    <t xml:space="preserve">Delegation-political</t>
  </si>
  <si>
    <t xml:space="preserve">Bloomberg, 5/13/26</t>
  </si>
  <si>
    <t xml:space="preserve">Added Tues before; 3 Mag-7 CEOs on one 36-hr trip.</t>
  </si>
  <si>
    <t xml:space="preserve">Cook</t>
  </si>
  <si>
    <t xml:space="preserve">AAPL</t>
  </si>
  <si>
    <t xml:space="preserve">Tariffs / China market / supply chain</t>
  </si>
  <si>
    <t xml:space="preserve">Foxconn(2317), Pegatron(4938)</t>
  </si>
  <si>
    <t xml:space="preserve">China dependence</t>
  </si>
  <si>
    <t xml:space="preserve">Same delegation as Huang + Musk.</t>
  </si>
  <si>
    <t xml:space="preserve">Musk</t>
  </si>
  <si>
    <t xml:space="preserve">TSLA</t>
  </si>
  <si>
    <t xml:space="preserve">Tariffs; Shanghai gigafactory; FSD approval</t>
  </si>
  <si>
    <t xml:space="preserve">Shanghai Gigafactory</t>
  </si>
  <si>
    <t xml:space="preserve">China realignment</t>
  </si>
  <si>
    <t xml:space="preserve">Same delegation.</t>
  </si>
  <si>
    <t xml:space="preserve">2026-03-18→23</t>
  </si>
  <si>
    <t xml:space="preserve">Chengdu→Beijing, China</t>
  </si>
  <si>
    <t xml:space="preserve">China Development Forum 2026; Vice-Premier He Lifeng</t>
  </si>
  <si>
    <t xml:space="preserve">Charm offensive amid antitrust pressure; App Store concessions</t>
  </si>
  <si>
    <t xml:space="preserve">China dependence / supply shift</t>
  </si>
  <si>
    <t xml:space="preserve">Global Times/Fortune, 3/22/26</t>
  </si>
  <si>
    <t xml:space="preserve">CDF is ANNUAL (every March) = noise. India trip would be the tell.</t>
  </si>
  <si>
    <t xml:space="preserve">~2025-05</t>
  </si>
  <si>
    <t xml:space="preserve">Riyadh, Saudi Arabia</t>
  </si>
  <si>
    <t xml:space="preserve">Gulf-Saudi</t>
  </si>
  <si>
    <t xml:space="preserve">Trump Saudi visit; MBS / PIF</t>
  </si>
  <si>
    <t xml:space="preserve">Court sovereign AI capital</t>
  </si>
  <si>
    <t xml:space="preserve">HUMAIN / PIF</t>
  </si>
  <si>
    <t xml:space="preserve">Energy Ceiling / sovereign-AI capital</t>
  </si>
  <si>
    <t xml:space="preserve">AOL/Independent, 5/25</t>
  </si>
  <si>
    <t xml:space="preserve">Cluster of 5+ US tech CEOs on one trip.</t>
  </si>
  <si>
    <t xml:space="preserve">Trump Saudi visit; MBS</t>
  </si>
  <si>
    <t xml:space="preserve">Sovereign AI capital (xAI too)</t>
  </si>
  <si>
    <t xml:space="preserve">Brother Kimbal + Gracias also along.</t>
  </si>
  <si>
    <t xml:space="preserve">Jassy</t>
  </si>
  <si>
    <t xml:space="preserve">AMZN</t>
  </si>
  <si>
    <t xml:space="preserve">Trump Saudi visit; Saudi officials</t>
  </si>
  <si>
    <t xml:space="preserve">Sovereign AI capital</t>
  </si>
  <si>
    <t xml:space="preserve">Amazon at the table.</t>
  </si>
  <si>
    <t xml:space="preserve">Porat (GOOGL)</t>
  </si>
  <si>
    <t xml:space="preserve">GOOGL</t>
  </si>
  <si>
    <t xml:space="preserve">Sovereign AI capital (Pres./CIO, not Pichai)</t>
  </si>
  <si>
    <t xml:space="preserve">Google repped by Porat, not Pichai personally.</t>
  </si>
  <si>
    <t xml:space="preserve">2025-11-19</t>
  </si>
  <si>
    <t xml:space="preserve">Washington, DC</t>
  </si>
  <si>
    <t xml:space="preserve">US-DC</t>
  </si>
  <si>
    <t xml:space="preserve">US-Saudi Investment Forum (Kennedy Center); Trump+MBS</t>
  </si>
  <si>
    <t xml:space="preserve">Sovereign AI; US greenlit AI-chip exports to Gulf after</t>
  </si>
  <si>
    <t xml:space="preserve">CNBC, 11/20/25</t>
  </si>
  <si>
    <t xml:space="preserve">Chip-export approval followed this forum.</t>
  </si>
  <si>
    <t xml:space="preserve">US-Saudi Investment Forum (Kennedy Center)</t>
  </si>
  <si>
    <t xml:space="preserve">Photographed w/ Trump+MBS.</t>
  </si>
  <si>
    <t xml:space="preserve">2024-25 (recurring)</t>
  </si>
  <si>
    <t xml:space="preserve">Nadella</t>
  </si>
  <si>
    <t xml:space="preserve">MSFT</t>
  </si>
  <si>
    <t xml:space="preserve">Abu Dhabi, UAE</t>
  </si>
  <si>
    <t xml:space="preserve">Gulf-UAE</t>
  </si>
  <si>
    <t xml:space="preserve">Sheikh Mohamed bin Zayed; G42</t>
  </si>
  <si>
    <t xml:space="preserve">Ongoing G42 / sovereign-AI partnership</t>
  </si>
  <si>
    <t xml:space="preserve">G42 (private)</t>
  </si>
  <si>
    <t xml:space="preserve">Reported</t>
  </si>
  <si>
    <t xml:space="preserve">CSIS, 1/25</t>
  </si>
  <si>
    <t xml:space="preserve">MBZ 'repeatedly met' Nadella, Altman, Huang.</t>
  </si>
  <si>
    <t xml:space="preserve">Ongoing G42 partnership</t>
  </si>
  <si>
    <t xml:space="preserve">Part of recurring UAE pilgrimage.</t>
  </si>
  <si>
    <t xml:space="preserve">Altman (OpenAI, adj.)</t>
  </si>
  <si>
    <t xml:space="preserve">n/a</t>
  </si>
  <si>
    <t xml:space="preserve">Not Mag-7, but adjacent &amp; framework-relevant.</t>
  </si>
  <si>
    <t xml:space="preserve">2026 (announced)</t>
  </si>
  <si>
    <t xml:space="preserve">Saudi Arabia</t>
  </si>
  <si>
    <t xml:space="preserve">MS sovereign cloud datacenter region</t>
  </si>
  <si>
    <t xml:space="preserve">In-country datacenter region operational 2026</t>
  </si>
  <si>
    <t xml:space="preserve">Saudi sovereign cloud</t>
  </si>
  <si>
    <t xml:space="preserve">Structural (deal)</t>
  </si>
  <si>
    <t xml:space="preserve">Microsoft EMEA, 12/25</t>
  </si>
  <si>
    <t xml:space="preserve">Infra commitment; confirms MSFT Gulf cadence.</t>
  </si>
  <si>
    <t xml:space="preserve">2026-03 (announced)</t>
  </si>
  <si>
    <t xml:space="preserve">Google (corp)</t>
  </si>
  <si>
    <t xml:space="preserve">PIF + HUMAIN JV</t>
  </si>
  <si>
    <t xml:space="preserve">$10B global AI hub JV</t>
  </si>
  <si>
    <t xml:space="preserve">Reuters (your Mag-7 PDF)</t>
  </si>
  <si>
    <t xml:space="preserve">Corporate, not personal travel — context row.</t>
  </si>
  <si>
    <t xml:space="preserve">DESTINATION CLUSTERING — auto-counts from Travel Log</t>
  </si>
  <si>
    <t xml:space="preserve">Counts every logged trip by hub. Clustering = where the bodies keep going. Add log rows and these update on recalc.</t>
  </si>
  <si>
    <t xml:space="preserve">Pichai</t>
  </si>
  <si>
    <t xml:space="preserve">Zuckerberg</t>
  </si>
  <si>
    <t xml:space="preserve">All (incl. adj.)</t>
  </si>
  <si>
    <t xml:space="preserve">India</t>
  </si>
  <si>
    <t xml:space="preserve">Europe</t>
  </si>
  <si>
    <t xml:space="preserve">Other</t>
  </si>
  <si>
    <t xml:space="preserve">TOTAL</t>
  </si>
  <si>
    <t xml:space="preserve">RECURRING SET-PIECES — the noise filter</t>
  </si>
  <si>
    <t xml:space="preserve">A CEO showing up here is EXPECTED. The signal is the ANOMALY: an unscheduled trip, or a destination NOT on this list.</t>
  </si>
  <si>
    <t xml:space="preserve">Event</t>
  </si>
  <si>
    <t xml:space="preserve">Location</t>
  </si>
  <si>
    <t xml:space="preserve">Typical Window</t>
  </si>
  <si>
    <t xml:space="preserve">Usual Mag-7 Attendee(s)</t>
  </si>
  <si>
    <t xml:space="preserve">Why it's noise</t>
  </si>
  <si>
    <t xml:space="preserve">CES</t>
  </si>
  <si>
    <t xml:space="preserve">Las Vegas, US</t>
  </si>
  <si>
    <t xml:space="preserve">Early January</t>
  </si>
  <si>
    <t xml:space="preserve">Huang (keynote)</t>
  </si>
  <si>
    <t xml:space="preserve">Annual keynote slot.</t>
  </si>
  <si>
    <t xml:space="preserve">WEF / Davos</t>
  </si>
  <si>
    <t xml:space="preserve">Davos, Switzerland</t>
  </si>
  <si>
    <t xml:space="preserve">Late January</t>
  </si>
  <si>
    <t xml:space="preserve">Various</t>
  </si>
  <si>
    <t xml:space="preserve">Annual elite gathering.</t>
  </si>
  <si>
    <t xml:space="preserve">China 'Two Sessions'</t>
  </si>
  <si>
    <t xml:space="preserve">Early–mid March</t>
  </si>
  <si>
    <t xml:space="preserve">—</t>
  </si>
  <si>
    <t xml:space="preserve">Sets the CDF backdrop.</t>
  </si>
  <si>
    <t xml:space="preserve">China Development Forum</t>
  </si>
  <si>
    <t xml:space="preserve">Late March</t>
  </si>
  <si>
    <t xml:space="preserve">Cook (annual)</t>
  </si>
  <si>
    <t xml:space="preserve">Cook attends every year.</t>
  </si>
  <si>
    <t xml:space="preserve">Nvidia GTC</t>
  </si>
  <si>
    <t xml:space="preserve">San Jose, US</t>
  </si>
  <si>
    <t xml:space="preserve">March</t>
  </si>
  <si>
    <t xml:space="preserve">Nvidia's own conference.</t>
  </si>
  <si>
    <t xml:space="preserve">Apple WWDC</t>
  </si>
  <si>
    <t xml:space="preserve">Cupertino, US</t>
  </si>
  <si>
    <t xml:space="preserve">June</t>
  </si>
  <si>
    <t xml:space="preserve">Apple dev conference.</t>
  </si>
  <si>
    <t xml:space="preserve">Computex</t>
  </si>
  <si>
    <t xml:space="preserve">Early June</t>
  </si>
  <si>
    <t xml:space="preserve">Huang keynotes annually.</t>
  </si>
  <si>
    <t xml:space="preserve">Nvidia GTC Week</t>
  </si>
  <si>
    <t xml:space="preserve">Paired with Computex.</t>
  </si>
  <si>
    <t xml:space="preserve">Apple iPhone event</t>
  </si>
  <si>
    <t xml:space="preserve">September</t>
  </si>
  <si>
    <t xml:space="preserve">Annual product launch.</t>
  </si>
  <si>
    <t xml:space="preserve">GITEX / Tech-cation</t>
  </si>
  <si>
    <t xml:space="preserve">Dubai, UAE</t>
  </si>
  <si>
    <t xml:space="preserve">December (7–11, 2026)</t>
  </si>
  <si>
    <t xml:space="preserve">Region's flagship; Gulf draw.</t>
  </si>
  <si>
    <t xml:space="preserve">US-Saudi Investment Forum</t>
  </si>
  <si>
    <t xml:space="preserve">(Nov 2025 instance)</t>
  </si>
  <si>
    <t xml:space="preserve">Huang, Musk, Jassy</t>
  </si>
  <si>
    <t xml:space="preserve">Sovereign-capital set-piece.</t>
  </si>
  <si>
    <t xml:space="preserve">Quarterly earnings</t>
  </si>
  <si>
    <t xml:space="preserve">HQ / virtual</t>
  </si>
  <si>
    <t xml:space="preserve">Jan/Apr/Jul/Oct</t>
  </si>
  <si>
    <t xml:space="preserve">All</t>
  </si>
  <si>
    <t xml:space="preserve">Scheduled; location ≠ signal.</t>
  </si>
  <si>
    <t xml:space="preserve">CEO PHYSICAL-TRAVEL TRACKER — Method &amp; Signal Rubric</t>
  </si>
  <si>
    <t xml:space="preserve">Premise: where a CEO spends their scarcest resource (time, in person) leaks strategic intent before deals hit the tape. The Huang/Taiwan tell, applied forward.</t>
  </si>
  <si>
    <t xml:space="preserve">THE TWO QUESTIONS THAT TURN A TRIP INTO A SIGNAL</t>
  </si>
  <si>
    <t xml:space="preserve">1) SCHEDULED or ANOMALOUS?  A keynote/forum on the Set-Piece Calendar is EXPECTED → noise. An UNSCHEDULED trip, or a trip to a destination NOT on the calendar, is the tell. (e.g. Huang flying to Taipei for a few hours 'only to see TSMC' days before earnings = anomaly. Cook at the March CDF = noise.)</t>
  </si>
  <si>
    <t xml:space="preserve">2) LEADING or COINCIDENT?  If the deal is already announced, the trip just confirms it → coincident, low alpha. The alpha is the REPEAT trip to a place with NO announced deal yet. Those are rare and rarely reported — they show up as frequency anomalies before the news.</t>
  </si>
  <si>
    <t xml:space="preserve">Highest-value cell = ANOMALOUS + LEADING + repeat visits to a place tied to an implicated company. That is the configuration you wish you'd caught on Huang/Taiwan.</t>
  </si>
  <si>
    <t xml:space="preserve">WHAT IS ACTUALLY TRACKABLE (be honest — this is mosaic intel, not a feed)</t>
  </si>
  <si>
    <t xml:space="preserve">• Public appearances: conference keynotes, govt summits, ribbon-cuttings, factory openings, earnings-call locations. (Most reliable.)</t>
  </si>
  <si>
    <t xml:space="preserve">• Destination-side local press: regional outlets often report a CEO landing before US media does (Focus Taiwan, Gulf News, Global Times).</t>
  </si>
  <si>
    <t xml:space="preserve">• Presidential / trade delegations: passenger manifests are published (this is how the Beijing trio and the Riyadh group surfaced).</t>
  </si>
  <si>
    <t xml:space="preserve">• Private-jet ADS-B tracking: PARTIAL. Some CEOs block tail numbers via the FAA LADD/PIA programs; coverage is inconsistent. Treat as corroboration, not a primary feed.</t>
  </si>
  <si>
    <t xml:space="preserve">• Social / company PR at the destination. Lagging and curated, but confirms presence.</t>
  </si>
  <si>
    <t xml:space="preserve">LIMITATION</t>
  </si>
  <si>
    <t xml:space="preserve">Most reported travel is COINCIDENT (deal already public). True leading signal requires noticing FREQUENCY anomalies — same person, same place, repeatedly, before any announcement. The Hub Tally tab is built to surface exactly that as rows accumulate.</t>
  </si>
  <si>
    <t xml:space="preserve">HOW TO USE</t>
  </si>
  <si>
    <t xml:space="preserve">1) Append one row per CEO per trip to 'Travel Log' (split shared delegations into separate rows so counts stay clean).</t>
  </si>
  <si>
    <t xml:space="preserve">2) Tag Hub with a normalized value (Taiwan / China-Mainland / Gulf-Saudi / Gulf-UAE / US-DC / India / Europe / Other) so the Tally counts correctly.</t>
  </si>
  <si>
    <t xml:space="preserve">3) Run a recalc (or open in Excel) — the Hub Tally updates automatically.</t>
  </si>
  <si>
    <t xml:space="preserve">4) Watch for: a CEO's count rising in a hub with no announced deal; a NEW hub appearing; or an anomalous (unscheduled) trip. Map the hub to the implicated ticker and check it against your basket weights.</t>
  </si>
  <si>
    <t xml:space="preserve">LEGEND</t>
  </si>
  <si>
    <t xml:space="preserve">Trip Type — Scheduled set-piece / Routine-recurring (grey/pink = expected) · Delegation-political (grey) · Anomalous (amber = look closer) · Structural (a deal, not personal travel; context only).</t>
  </si>
  <si>
    <t xml:space="preserve">Signal — Leading (green) vs Coincident (grey).   Conf. — Confirmed (dated news) / Reported (analysis piece) / Inferred (your mapping).</t>
  </si>
  <si>
    <t xml:space="preserve">Seeded May 30, 2026. 2025 rows are baseline cadence; 2026 rows are what to extend. Sources in the log's Source column.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</si>
</sst>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8E8E8"/>
        <bgColor rgb="FFEDEDED"/>
      </patternFill>
    </fill>
    <fill>
      <patternFill patternType="solid">
        <fgColor rgb="FFEDEDED"/>
        <bgColor rgb="FFEEF1F7"/>
      </patternFill>
    </fill>
    <fill>
      <patternFill patternType="solid">
        <fgColor rgb="FFF4E4E4"/>
        <bgColor rgb="FFE8E8E8"/>
      </patternFill>
    </fill>
    <fill>
      <patternFill patternType="solid">
        <fgColor rgb="FF2E4374"/>
        <bgColor rgb="FF444444"/>
      </patternFill>
    </fill>
    <fill>
      <patternFill patternType="solid">
        <fgColor rgb="FFEEF1F7"/>
        <bgColor rgb="FFEDEDED"/>
      </patternFill>
    </fill>
    <fill>
      <patternFill patternType="solid">
        <fgColor rgb="FFFFF3C4"/>
        <bgColor rgb="FFF4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E"/>
      </left>
      <right style="thin">
        <color rgb="FFC9D0DE"/>
      </right>
      <top style="thin">
        <color rgb="FFC9D0DE"/>
      </top>
      <bottom style="thin">
        <color rgb="FFC9D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4E4E4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EEF1F7"/>
      <rgbColor rgb="FF660066"/>
      <rgbColor rgb="FFFF8080"/>
      <rgbColor rgb="FF0066CC"/>
      <rgbColor rgb="FFC9D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8E8E8"/>
      <rgbColor rgb="FFFFFF99"/>
      <rgbColor rgb="FF99CCFF"/>
      <rgbColor rgb="FFFF99CC"/>
      <rgbColor rgb="FFCC99FF"/>
      <rgbColor rgb="FFF4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2E4374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30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17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3" min="13" style="0" width="22"/>
    <col collapsed="false" customWidth="true" hidden="false" outlineLevel="0" max="14" min="14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5.0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23</v>
      </c>
      <c r="K2" s="4" t="s">
        <v>24</v>
      </c>
      <c r="L2" s="2" t="s">
        <v>11</v>
      </c>
      <c r="M2" s="2" t="s">
        <v>25</v>
      </c>
      <c r="N2" s="2" t="s">
        <v>26</v>
      </c>
    </row>
    <row r="3" customFormat="false" ht="23.85" hidden="false" customHeight="false" outlineLevel="0" collapsed="false">
      <c r="A3" s="2" t="s">
        <v>27</v>
      </c>
      <c r="B3" s="2" t="s">
        <v>15</v>
      </c>
      <c r="C3" s="2" t="s">
        <v>16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5" t="s">
        <v>34</v>
      </c>
      <c r="K3" s="4" t="s">
        <v>24</v>
      </c>
      <c r="L3" s="2" t="s">
        <v>11</v>
      </c>
      <c r="M3" s="2" t="s">
        <v>35</v>
      </c>
      <c r="N3" s="2" t="s">
        <v>36</v>
      </c>
    </row>
    <row r="4" customFormat="false" ht="23.85" hidden="false" customHeight="false" outlineLevel="0" collapsed="false">
      <c r="A4" s="2" t="s">
        <v>37</v>
      </c>
      <c r="B4" s="2" t="s">
        <v>15</v>
      </c>
      <c r="C4" s="2" t="s">
        <v>16</v>
      </c>
      <c r="D4" s="2" t="s">
        <v>38</v>
      </c>
      <c r="E4" s="2" t="s">
        <v>29</v>
      </c>
      <c r="F4" s="2" t="s">
        <v>39</v>
      </c>
      <c r="G4" s="2" t="s">
        <v>40</v>
      </c>
      <c r="H4" s="2" t="s">
        <v>32</v>
      </c>
      <c r="I4" s="2" t="s">
        <v>41</v>
      </c>
      <c r="J4" s="3" t="s">
        <v>42</v>
      </c>
      <c r="K4" s="4" t="s">
        <v>24</v>
      </c>
      <c r="L4" s="2" t="s">
        <v>11</v>
      </c>
      <c r="M4" s="2" t="s">
        <v>43</v>
      </c>
      <c r="N4" s="2" t="s">
        <v>44</v>
      </c>
    </row>
    <row r="5" customFormat="false" ht="23.85" hidden="false" customHeight="false" outlineLevel="0" collapsed="false">
      <c r="A5" s="2" t="s">
        <v>37</v>
      </c>
      <c r="B5" s="2" t="s">
        <v>45</v>
      </c>
      <c r="C5" s="2" t="s">
        <v>46</v>
      </c>
      <c r="D5" s="2" t="s">
        <v>38</v>
      </c>
      <c r="E5" s="2" t="s">
        <v>29</v>
      </c>
      <c r="F5" s="2" t="s">
        <v>39</v>
      </c>
      <c r="G5" s="2" t="s">
        <v>47</v>
      </c>
      <c r="H5" s="2" t="s">
        <v>48</v>
      </c>
      <c r="I5" s="2" t="s">
        <v>49</v>
      </c>
      <c r="J5" s="3" t="s">
        <v>42</v>
      </c>
      <c r="K5" s="4" t="s">
        <v>24</v>
      </c>
      <c r="L5" s="2" t="s">
        <v>11</v>
      </c>
      <c r="M5" s="2" t="s">
        <v>43</v>
      </c>
      <c r="N5" s="2" t="s">
        <v>50</v>
      </c>
    </row>
    <row r="6" customFormat="false" ht="23.85" hidden="false" customHeight="false" outlineLevel="0" collapsed="false">
      <c r="A6" s="2" t="s">
        <v>37</v>
      </c>
      <c r="B6" s="2" t="s">
        <v>51</v>
      </c>
      <c r="C6" s="2" t="s">
        <v>52</v>
      </c>
      <c r="D6" s="2" t="s">
        <v>38</v>
      </c>
      <c r="E6" s="2" t="s">
        <v>29</v>
      </c>
      <c r="F6" s="2" t="s">
        <v>39</v>
      </c>
      <c r="G6" s="2" t="s">
        <v>53</v>
      </c>
      <c r="H6" s="2" t="s">
        <v>54</v>
      </c>
      <c r="I6" s="2" t="s">
        <v>55</v>
      </c>
      <c r="J6" s="3" t="s">
        <v>42</v>
      </c>
      <c r="K6" s="4" t="s">
        <v>24</v>
      </c>
      <c r="L6" s="2" t="s">
        <v>11</v>
      </c>
      <c r="M6" s="2" t="s">
        <v>43</v>
      </c>
      <c r="N6" s="2" t="s">
        <v>56</v>
      </c>
    </row>
    <row r="7" customFormat="false" ht="23.85" hidden="false" customHeight="false" outlineLevel="0" collapsed="false">
      <c r="A7" s="2" t="s">
        <v>57</v>
      </c>
      <c r="B7" s="2" t="s">
        <v>45</v>
      </c>
      <c r="C7" s="2" t="s">
        <v>46</v>
      </c>
      <c r="D7" s="2" t="s">
        <v>58</v>
      </c>
      <c r="E7" s="2" t="s">
        <v>29</v>
      </c>
      <c r="F7" s="2" t="s">
        <v>59</v>
      </c>
      <c r="G7" s="2" t="s">
        <v>60</v>
      </c>
      <c r="H7" s="2" t="s">
        <v>48</v>
      </c>
      <c r="I7" s="2" t="s">
        <v>61</v>
      </c>
      <c r="J7" s="3" t="s">
        <v>23</v>
      </c>
      <c r="K7" s="4" t="s">
        <v>24</v>
      </c>
      <c r="L7" s="2" t="s">
        <v>11</v>
      </c>
      <c r="M7" s="2" t="s">
        <v>62</v>
      </c>
      <c r="N7" s="2" t="s">
        <v>63</v>
      </c>
    </row>
    <row r="8" customFormat="false" ht="23.85" hidden="false" customHeight="false" outlineLevel="0" collapsed="false">
      <c r="A8" s="2" t="s">
        <v>64</v>
      </c>
      <c r="B8" s="2" t="s">
        <v>15</v>
      </c>
      <c r="C8" s="2" t="s">
        <v>16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3" t="s">
        <v>42</v>
      </c>
      <c r="K8" s="4" t="s">
        <v>24</v>
      </c>
      <c r="L8" s="2" t="s">
        <v>11</v>
      </c>
      <c r="M8" s="2" t="s">
        <v>71</v>
      </c>
      <c r="N8" s="2" t="s">
        <v>72</v>
      </c>
    </row>
    <row r="9" customFormat="false" ht="23.85" hidden="false" customHeight="false" outlineLevel="0" collapsed="false">
      <c r="A9" s="2" t="s">
        <v>64</v>
      </c>
      <c r="B9" s="2" t="s">
        <v>51</v>
      </c>
      <c r="C9" s="2" t="s">
        <v>52</v>
      </c>
      <c r="D9" s="2" t="s">
        <v>65</v>
      </c>
      <c r="E9" s="2" t="s">
        <v>66</v>
      </c>
      <c r="F9" s="2" t="s">
        <v>73</v>
      </c>
      <c r="G9" s="2" t="s">
        <v>74</v>
      </c>
      <c r="H9" s="2" t="s">
        <v>69</v>
      </c>
      <c r="I9" s="2" t="s">
        <v>70</v>
      </c>
      <c r="J9" s="3" t="s">
        <v>42</v>
      </c>
      <c r="K9" s="4" t="s">
        <v>24</v>
      </c>
      <c r="L9" s="2" t="s">
        <v>11</v>
      </c>
      <c r="M9" s="2" t="s">
        <v>71</v>
      </c>
      <c r="N9" s="2" t="s">
        <v>75</v>
      </c>
    </row>
    <row r="10" customFormat="false" ht="23.85" hidden="false" customHeight="false" outlineLevel="0" collapsed="false">
      <c r="A10" s="2" t="s">
        <v>64</v>
      </c>
      <c r="B10" s="2" t="s">
        <v>76</v>
      </c>
      <c r="C10" s="2" t="s">
        <v>77</v>
      </c>
      <c r="D10" s="2" t="s">
        <v>65</v>
      </c>
      <c r="E10" s="2" t="s">
        <v>66</v>
      </c>
      <c r="F10" s="2" t="s">
        <v>78</v>
      </c>
      <c r="G10" s="2" t="s">
        <v>79</v>
      </c>
      <c r="H10" s="2" t="s">
        <v>69</v>
      </c>
      <c r="I10" s="2" t="s">
        <v>70</v>
      </c>
      <c r="J10" s="3" t="s">
        <v>42</v>
      </c>
      <c r="K10" s="4" t="s">
        <v>24</v>
      </c>
      <c r="L10" s="2" t="s">
        <v>11</v>
      </c>
      <c r="M10" s="2" t="s">
        <v>71</v>
      </c>
      <c r="N10" s="2" t="s">
        <v>80</v>
      </c>
    </row>
    <row r="11" customFormat="false" ht="23.85" hidden="false" customHeight="false" outlineLevel="0" collapsed="false">
      <c r="A11" s="2" t="s">
        <v>64</v>
      </c>
      <c r="B11" s="2" t="s">
        <v>81</v>
      </c>
      <c r="C11" s="2" t="s">
        <v>82</v>
      </c>
      <c r="D11" s="2" t="s">
        <v>65</v>
      </c>
      <c r="E11" s="2" t="s">
        <v>66</v>
      </c>
      <c r="F11" s="2" t="s">
        <v>78</v>
      </c>
      <c r="G11" s="2" t="s">
        <v>83</v>
      </c>
      <c r="H11" s="2" t="s">
        <v>69</v>
      </c>
      <c r="I11" s="2" t="s">
        <v>70</v>
      </c>
      <c r="J11" s="3" t="s">
        <v>42</v>
      </c>
      <c r="K11" s="4" t="s">
        <v>24</v>
      </c>
      <c r="L11" s="2" t="s">
        <v>11</v>
      </c>
      <c r="M11" s="2" t="s">
        <v>71</v>
      </c>
      <c r="N11" s="2" t="s">
        <v>84</v>
      </c>
    </row>
    <row r="12" customFormat="false" ht="23.85" hidden="false" customHeight="false" outlineLevel="0" collapsed="false">
      <c r="A12" s="2" t="s">
        <v>85</v>
      </c>
      <c r="B12" s="2" t="s">
        <v>15</v>
      </c>
      <c r="C12" s="2" t="s">
        <v>16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69</v>
      </c>
      <c r="I12" s="2" t="s">
        <v>70</v>
      </c>
      <c r="J12" s="3" t="s">
        <v>23</v>
      </c>
      <c r="K12" s="4" t="s">
        <v>24</v>
      </c>
      <c r="L12" s="2" t="s">
        <v>11</v>
      </c>
      <c r="M12" s="2" t="s">
        <v>90</v>
      </c>
      <c r="N12" s="2" t="s">
        <v>91</v>
      </c>
    </row>
    <row r="13" customFormat="false" ht="23.85" hidden="false" customHeight="false" outlineLevel="0" collapsed="false">
      <c r="A13" s="2" t="s">
        <v>85</v>
      </c>
      <c r="B13" s="2" t="s">
        <v>51</v>
      </c>
      <c r="C13" s="2" t="s">
        <v>52</v>
      </c>
      <c r="D13" s="2" t="s">
        <v>86</v>
      </c>
      <c r="E13" s="2" t="s">
        <v>87</v>
      </c>
      <c r="F13" s="2" t="s">
        <v>92</v>
      </c>
      <c r="G13" s="2" t="s">
        <v>79</v>
      </c>
      <c r="H13" s="2" t="s">
        <v>69</v>
      </c>
      <c r="I13" s="2" t="s">
        <v>70</v>
      </c>
      <c r="J13" s="3" t="s">
        <v>23</v>
      </c>
      <c r="K13" s="4" t="s">
        <v>24</v>
      </c>
      <c r="L13" s="2" t="s">
        <v>11</v>
      </c>
      <c r="M13" s="2" t="s">
        <v>90</v>
      </c>
      <c r="N13" s="2" t="s">
        <v>93</v>
      </c>
    </row>
    <row r="14" customFormat="false" ht="23.85" hidden="false" customHeight="false" outlineLevel="0" collapsed="false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70</v>
      </c>
      <c r="J14" s="5" t="s">
        <v>34</v>
      </c>
      <c r="K14" s="4" t="s">
        <v>24</v>
      </c>
      <c r="L14" s="2" t="s">
        <v>102</v>
      </c>
      <c r="M14" s="2" t="s">
        <v>103</v>
      </c>
      <c r="N14" s="2" t="s">
        <v>104</v>
      </c>
    </row>
    <row r="15" customFormat="false" ht="23.85" hidden="false" customHeight="false" outlineLevel="0" collapsed="false">
      <c r="A15" s="2" t="s">
        <v>94</v>
      </c>
      <c r="B15" s="2" t="s">
        <v>15</v>
      </c>
      <c r="C15" s="2" t="s">
        <v>16</v>
      </c>
      <c r="D15" s="2" t="s">
        <v>97</v>
      </c>
      <c r="E15" s="2" t="s">
        <v>98</v>
      </c>
      <c r="F15" s="2" t="s">
        <v>99</v>
      </c>
      <c r="G15" s="2" t="s">
        <v>105</v>
      </c>
      <c r="H15" s="2" t="s">
        <v>101</v>
      </c>
      <c r="I15" s="2" t="s">
        <v>70</v>
      </c>
      <c r="J15" s="5" t="s">
        <v>34</v>
      </c>
      <c r="K15" s="4" t="s">
        <v>24</v>
      </c>
      <c r="L15" s="2" t="s">
        <v>102</v>
      </c>
      <c r="M15" s="2" t="s">
        <v>103</v>
      </c>
      <c r="N15" s="2" t="s">
        <v>106</v>
      </c>
    </row>
    <row r="16" customFormat="false" ht="23.85" hidden="false" customHeight="false" outlineLevel="0" collapsed="false">
      <c r="A16" s="2" t="s">
        <v>94</v>
      </c>
      <c r="B16" s="2" t="s">
        <v>107</v>
      </c>
      <c r="C16" s="2" t="s">
        <v>108</v>
      </c>
      <c r="D16" s="2" t="s">
        <v>97</v>
      </c>
      <c r="E16" s="2" t="s">
        <v>98</v>
      </c>
      <c r="F16" s="2" t="s">
        <v>99</v>
      </c>
      <c r="G16" s="2" t="s">
        <v>105</v>
      </c>
      <c r="H16" s="2" t="s">
        <v>101</v>
      </c>
      <c r="I16" s="2" t="s">
        <v>70</v>
      </c>
      <c r="J16" s="5" t="s">
        <v>34</v>
      </c>
      <c r="K16" s="4" t="s">
        <v>24</v>
      </c>
      <c r="L16" s="2" t="s">
        <v>102</v>
      </c>
      <c r="M16" s="2" t="s">
        <v>103</v>
      </c>
      <c r="N16" s="2" t="s">
        <v>109</v>
      </c>
    </row>
    <row r="17" customFormat="false" ht="23.85" hidden="false" customHeight="false" outlineLevel="0" collapsed="false">
      <c r="A17" s="2" t="s">
        <v>110</v>
      </c>
      <c r="B17" s="2" t="s">
        <v>95</v>
      </c>
      <c r="C17" s="2" t="s">
        <v>96</v>
      </c>
      <c r="D17" s="2" t="s">
        <v>111</v>
      </c>
      <c r="E17" s="2" t="s">
        <v>66</v>
      </c>
      <c r="F17" s="2" t="s">
        <v>112</v>
      </c>
      <c r="G17" s="2" t="s">
        <v>113</v>
      </c>
      <c r="H17" s="2" t="s">
        <v>114</v>
      </c>
      <c r="I17" s="2" t="s">
        <v>70</v>
      </c>
      <c r="J17" s="2" t="s">
        <v>115</v>
      </c>
      <c r="K17" s="4" t="s">
        <v>24</v>
      </c>
      <c r="L17" s="2" t="s">
        <v>102</v>
      </c>
      <c r="M17" s="2" t="s">
        <v>116</v>
      </c>
      <c r="N17" s="2" t="s">
        <v>117</v>
      </c>
    </row>
    <row r="18" customFormat="false" ht="23.85" hidden="false" customHeight="false" outlineLevel="0" collapsed="false">
      <c r="A18" s="2" t="s">
        <v>118</v>
      </c>
      <c r="B18" s="2" t="s">
        <v>119</v>
      </c>
      <c r="C18" s="2" t="s">
        <v>82</v>
      </c>
      <c r="D18" s="2" t="s">
        <v>111</v>
      </c>
      <c r="E18" s="2" t="s">
        <v>66</v>
      </c>
      <c r="F18" s="2" t="s">
        <v>120</v>
      </c>
      <c r="G18" s="2" t="s">
        <v>121</v>
      </c>
      <c r="H18" s="2" t="s">
        <v>69</v>
      </c>
      <c r="I18" s="2" t="s">
        <v>70</v>
      </c>
      <c r="J18" s="2" t="s">
        <v>115</v>
      </c>
      <c r="K18" s="4" t="s">
        <v>24</v>
      </c>
      <c r="L18" s="2" t="s">
        <v>102</v>
      </c>
      <c r="M18" s="2" t="s">
        <v>122</v>
      </c>
      <c r="N18" s="2" t="s">
        <v>123</v>
      </c>
    </row>
  </sheetData>
  <autoFilter ref="A1:N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2"/>
    <col collapsed="false" customWidth="true" hidden="false" outlineLevel="0" max="9" min="9" style="0" width="15"/>
  </cols>
  <sheetData>
    <row r="1" customFormat="false" ht="17.35" hidden="false" customHeight="false" outlineLevel="0" collapsed="false">
      <c r="A1" s="6" t="s">
        <v>124</v>
      </c>
    </row>
    <row r="2" customFormat="false" ht="15" hidden="false" customHeight="false" outlineLevel="0" collapsed="false">
      <c r="A2" s="7" t="s">
        <v>125</v>
      </c>
    </row>
    <row r="4" customFormat="false" ht="15" hidden="false" customHeight="false" outlineLevel="0" collapsed="false">
      <c r="A4" s="8" t="s">
        <v>4</v>
      </c>
      <c r="B4" s="8" t="s">
        <v>15</v>
      </c>
      <c r="C4" s="8" t="s">
        <v>45</v>
      </c>
      <c r="D4" s="8" t="s">
        <v>126</v>
      </c>
      <c r="E4" s="8" t="s">
        <v>95</v>
      </c>
      <c r="F4" s="8" t="s">
        <v>76</v>
      </c>
      <c r="G4" s="8" t="s">
        <v>127</v>
      </c>
      <c r="H4" s="8" t="s">
        <v>51</v>
      </c>
      <c r="I4" s="8" t="s">
        <v>128</v>
      </c>
    </row>
    <row r="5" customFormat="false" ht="15" hidden="false" customHeight="false" outlineLevel="0" collapsed="false">
      <c r="A5" s="9" t="s">
        <v>18</v>
      </c>
      <c r="B5" s="10" t="n">
        <f aca="false">COUNTIFS('Travel Log'!$E:$E,$A5,'Travel Log'!$B:$B,B$4)</f>
        <v>1</v>
      </c>
      <c r="C5" s="10" t="n">
        <f aca="false">COUNTIFS('Travel Log'!$E:$E,$A5,'Travel Log'!$B:$B,C$4)</f>
        <v>0</v>
      </c>
      <c r="D5" s="10" t="n">
        <f aca="false">COUNTIFS('Travel Log'!$E:$E,$A5,'Travel Log'!$B:$B,D$4)</f>
        <v>0</v>
      </c>
      <c r="E5" s="10" t="n">
        <f aca="false">COUNTIFS('Travel Log'!$E:$E,$A5,'Travel Log'!$B:$B,E$4)</f>
        <v>0</v>
      </c>
      <c r="F5" s="10" t="n">
        <f aca="false">COUNTIFS('Travel Log'!$E:$E,$A5,'Travel Log'!$B:$B,F$4)</f>
        <v>0</v>
      </c>
      <c r="G5" s="10" t="n">
        <f aca="false">COUNTIFS('Travel Log'!$E:$E,$A5,'Travel Log'!$B:$B,G$4)</f>
        <v>0</v>
      </c>
      <c r="H5" s="10" t="n">
        <f aca="false">COUNTIFS('Travel Log'!$E:$E,$A5,'Travel Log'!$B:$B,H$4)</f>
        <v>0</v>
      </c>
      <c r="I5" s="11" t="n">
        <f aca="false">COUNTIF('Travel Log'!$E:$E,$A5)</f>
        <v>1</v>
      </c>
    </row>
    <row r="6" customFormat="false" ht="15" hidden="false" customHeight="false" outlineLevel="0" collapsed="false">
      <c r="A6" s="9" t="s">
        <v>29</v>
      </c>
      <c r="B6" s="10" t="n">
        <f aca="false">COUNTIFS('Travel Log'!$E:$E,$A6,'Travel Log'!$B:$B,B$4)</f>
        <v>2</v>
      </c>
      <c r="C6" s="10" t="n">
        <f aca="false">COUNTIFS('Travel Log'!$E:$E,$A6,'Travel Log'!$B:$B,C$4)</f>
        <v>2</v>
      </c>
      <c r="D6" s="10" t="n">
        <f aca="false">COUNTIFS('Travel Log'!$E:$E,$A6,'Travel Log'!$B:$B,D$4)</f>
        <v>0</v>
      </c>
      <c r="E6" s="10" t="n">
        <f aca="false">COUNTIFS('Travel Log'!$E:$E,$A6,'Travel Log'!$B:$B,E$4)</f>
        <v>0</v>
      </c>
      <c r="F6" s="10" t="n">
        <f aca="false">COUNTIFS('Travel Log'!$E:$E,$A6,'Travel Log'!$B:$B,F$4)</f>
        <v>0</v>
      </c>
      <c r="G6" s="10" t="n">
        <f aca="false">COUNTIFS('Travel Log'!$E:$E,$A6,'Travel Log'!$B:$B,G$4)</f>
        <v>0</v>
      </c>
      <c r="H6" s="10" t="n">
        <f aca="false">COUNTIFS('Travel Log'!$E:$E,$A6,'Travel Log'!$B:$B,H$4)</f>
        <v>1</v>
      </c>
      <c r="I6" s="11" t="n">
        <f aca="false">COUNTIF('Travel Log'!$E:$E,$A6)</f>
        <v>5</v>
      </c>
    </row>
    <row r="7" customFormat="false" ht="15" hidden="false" customHeight="false" outlineLevel="0" collapsed="false">
      <c r="A7" s="9" t="s">
        <v>66</v>
      </c>
      <c r="B7" s="10" t="n">
        <f aca="false">COUNTIFS('Travel Log'!$E:$E,$A7,'Travel Log'!$B:$B,B$4)</f>
        <v>1</v>
      </c>
      <c r="C7" s="10" t="n">
        <f aca="false">COUNTIFS('Travel Log'!$E:$E,$A7,'Travel Log'!$B:$B,C$4)</f>
        <v>0</v>
      </c>
      <c r="D7" s="10" t="n">
        <f aca="false">COUNTIFS('Travel Log'!$E:$E,$A7,'Travel Log'!$B:$B,D$4)</f>
        <v>0</v>
      </c>
      <c r="E7" s="10" t="n">
        <f aca="false">COUNTIFS('Travel Log'!$E:$E,$A7,'Travel Log'!$B:$B,E$4)</f>
        <v>1</v>
      </c>
      <c r="F7" s="10" t="n">
        <f aca="false">COUNTIFS('Travel Log'!$E:$E,$A7,'Travel Log'!$B:$B,F$4)</f>
        <v>1</v>
      </c>
      <c r="G7" s="10" t="n">
        <f aca="false">COUNTIFS('Travel Log'!$E:$E,$A7,'Travel Log'!$B:$B,G$4)</f>
        <v>0</v>
      </c>
      <c r="H7" s="10" t="n">
        <f aca="false">COUNTIFS('Travel Log'!$E:$E,$A7,'Travel Log'!$B:$B,H$4)</f>
        <v>1</v>
      </c>
      <c r="I7" s="11" t="n">
        <f aca="false">COUNTIF('Travel Log'!$E:$E,$A7)</f>
        <v>6</v>
      </c>
    </row>
    <row r="8" customFormat="false" ht="15" hidden="false" customHeight="false" outlineLevel="0" collapsed="false">
      <c r="A8" s="9" t="s">
        <v>98</v>
      </c>
      <c r="B8" s="10" t="n">
        <f aca="false">COUNTIFS('Travel Log'!$E:$E,$A8,'Travel Log'!$B:$B,B$4)</f>
        <v>1</v>
      </c>
      <c r="C8" s="10" t="n">
        <f aca="false">COUNTIFS('Travel Log'!$E:$E,$A8,'Travel Log'!$B:$B,C$4)</f>
        <v>0</v>
      </c>
      <c r="D8" s="10" t="n">
        <f aca="false">COUNTIFS('Travel Log'!$E:$E,$A8,'Travel Log'!$B:$B,D$4)</f>
        <v>0</v>
      </c>
      <c r="E8" s="10" t="n">
        <f aca="false">COUNTIFS('Travel Log'!$E:$E,$A8,'Travel Log'!$B:$B,E$4)</f>
        <v>1</v>
      </c>
      <c r="F8" s="10" t="n">
        <f aca="false">COUNTIFS('Travel Log'!$E:$E,$A8,'Travel Log'!$B:$B,F$4)</f>
        <v>0</v>
      </c>
      <c r="G8" s="10" t="n">
        <f aca="false">COUNTIFS('Travel Log'!$E:$E,$A8,'Travel Log'!$B:$B,G$4)</f>
        <v>0</v>
      </c>
      <c r="H8" s="10" t="n">
        <f aca="false">COUNTIFS('Travel Log'!$E:$E,$A8,'Travel Log'!$B:$B,H$4)</f>
        <v>0</v>
      </c>
      <c r="I8" s="11" t="n">
        <f aca="false">COUNTIF('Travel Log'!$E:$E,$A8)</f>
        <v>3</v>
      </c>
    </row>
    <row r="9" customFormat="false" ht="15" hidden="false" customHeight="false" outlineLevel="0" collapsed="false">
      <c r="A9" s="9" t="s">
        <v>87</v>
      </c>
      <c r="B9" s="10" t="n">
        <f aca="false">COUNTIFS('Travel Log'!$E:$E,$A9,'Travel Log'!$B:$B,B$4)</f>
        <v>1</v>
      </c>
      <c r="C9" s="10" t="n">
        <f aca="false">COUNTIFS('Travel Log'!$E:$E,$A9,'Travel Log'!$B:$B,C$4)</f>
        <v>0</v>
      </c>
      <c r="D9" s="10" t="n">
        <f aca="false">COUNTIFS('Travel Log'!$E:$E,$A9,'Travel Log'!$B:$B,D$4)</f>
        <v>0</v>
      </c>
      <c r="E9" s="10" t="n">
        <f aca="false">COUNTIFS('Travel Log'!$E:$E,$A9,'Travel Log'!$B:$B,E$4)</f>
        <v>0</v>
      </c>
      <c r="F9" s="10" t="n">
        <f aca="false">COUNTIFS('Travel Log'!$E:$E,$A9,'Travel Log'!$B:$B,F$4)</f>
        <v>0</v>
      </c>
      <c r="G9" s="10" t="n">
        <f aca="false">COUNTIFS('Travel Log'!$E:$E,$A9,'Travel Log'!$B:$B,G$4)</f>
        <v>0</v>
      </c>
      <c r="H9" s="10" t="n">
        <f aca="false">COUNTIFS('Travel Log'!$E:$E,$A9,'Travel Log'!$B:$B,H$4)</f>
        <v>1</v>
      </c>
      <c r="I9" s="11" t="n">
        <f aca="false">COUNTIF('Travel Log'!$E:$E,$A9)</f>
        <v>2</v>
      </c>
    </row>
    <row r="10" customFormat="false" ht="15" hidden="false" customHeight="false" outlineLevel="0" collapsed="false">
      <c r="A10" s="9" t="s">
        <v>129</v>
      </c>
      <c r="B10" s="10" t="n">
        <f aca="false">COUNTIFS('Travel Log'!$E:$E,$A10,'Travel Log'!$B:$B,B$4)</f>
        <v>0</v>
      </c>
      <c r="C10" s="10" t="n">
        <f aca="false">COUNTIFS('Travel Log'!$E:$E,$A10,'Travel Log'!$B:$B,C$4)</f>
        <v>0</v>
      </c>
      <c r="D10" s="10" t="n">
        <f aca="false">COUNTIFS('Travel Log'!$E:$E,$A10,'Travel Log'!$B:$B,D$4)</f>
        <v>0</v>
      </c>
      <c r="E10" s="10" t="n">
        <f aca="false">COUNTIFS('Travel Log'!$E:$E,$A10,'Travel Log'!$B:$B,E$4)</f>
        <v>0</v>
      </c>
      <c r="F10" s="10" t="n">
        <f aca="false">COUNTIFS('Travel Log'!$E:$E,$A10,'Travel Log'!$B:$B,F$4)</f>
        <v>0</v>
      </c>
      <c r="G10" s="10" t="n">
        <f aca="false">COUNTIFS('Travel Log'!$E:$E,$A10,'Travel Log'!$B:$B,G$4)</f>
        <v>0</v>
      </c>
      <c r="H10" s="10" t="n">
        <f aca="false">COUNTIFS('Travel Log'!$E:$E,$A10,'Travel Log'!$B:$B,H$4)</f>
        <v>0</v>
      </c>
      <c r="I10" s="11" t="n">
        <f aca="false">COUNTIF('Travel Log'!$E:$E,$A10)</f>
        <v>0</v>
      </c>
    </row>
    <row r="11" customFormat="false" ht="15" hidden="false" customHeight="false" outlineLevel="0" collapsed="false">
      <c r="A11" s="9" t="s">
        <v>130</v>
      </c>
      <c r="B11" s="10" t="n">
        <f aca="false">COUNTIFS('Travel Log'!$E:$E,$A11,'Travel Log'!$B:$B,B$4)</f>
        <v>0</v>
      </c>
      <c r="C11" s="10" t="n">
        <f aca="false">COUNTIFS('Travel Log'!$E:$E,$A11,'Travel Log'!$B:$B,C$4)</f>
        <v>0</v>
      </c>
      <c r="D11" s="10" t="n">
        <f aca="false">COUNTIFS('Travel Log'!$E:$E,$A11,'Travel Log'!$B:$B,D$4)</f>
        <v>0</v>
      </c>
      <c r="E11" s="10" t="n">
        <f aca="false">COUNTIFS('Travel Log'!$E:$E,$A11,'Travel Log'!$B:$B,E$4)</f>
        <v>0</v>
      </c>
      <c r="F11" s="10" t="n">
        <f aca="false">COUNTIFS('Travel Log'!$E:$E,$A11,'Travel Log'!$B:$B,F$4)</f>
        <v>0</v>
      </c>
      <c r="G11" s="10" t="n">
        <f aca="false">COUNTIFS('Travel Log'!$E:$E,$A11,'Travel Log'!$B:$B,G$4)</f>
        <v>0</v>
      </c>
      <c r="H11" s="10" t="n">
        <f aca="false">COUNTIFS('Travel Log'!$E:$E,$A11,'Travel Log'!$B:$B,H$4)</f>
        <v>0</v>
      </c>
      <c r="I11" s="11" t="n">
        <f aca="false">COUNTIF('Travel Log'!$E:$E,$A11)</f>
        <v>0</v>
      </c>
    </row>
    <row r="12" customFormat="false" ht="15" hidden="false" customHeight="false" outlineLevel="0" collapsed="false">
      <c r="A12" s="9" t="s">
        <v>131</v>
      </c>
      <c r="B12" s="10" t="n">
        <f aca="false">COUNTIFS('Travel Log'!$E:$E,$A12,'Travel Log'!$B:$B,B$4)</f>
        <v>0</v>
      </c>
      <c r="C12" s="10" t="n">
        <f aca="false">COUNTIFS('Travel Log'!$E:$E,$A12,'Travel Log'!$B:$B,C$4)</f>
        <v>0</v>
      </c>
      <c r="D12" s="10" t="n">
        <f aca="false">COUNTIFS('Travel Log'!$E:$E,$A12,'Travel Log'!$B:$B,D$4)</f>
        <v>0</v>
      </c>
      <c r="E12" s="10" t="n">
        <f aca="false">COUNTIFS('Travel Log'!$E:$E,$A12,'Travel Log'!$B:$B,E$4)</f>
        <v>0</v>
      </c>
      <c r="F12" s="10" t="n">
        <f aca="false">COUNTIFS('Travel Log'!$E:$E,$A12,'Travel Log'!$B:$B,F$4)</f>
        <v>0</v>
      </c>
      <c r="G12" s="10" t="n">
        <f aca="false">COUNTIFS('Travel Log'!$E:$E,$A12,'Travel Log'!$B:$B,G$4)</f>
        <v>0</v>
      </c>
      <c r="H12" s="10" t="n">
        <f aca="false">COUNTIFS('Travel Log'!$E:$E,$A12,'Travel Log'!$B:$B,H$4)</f>
        <v>0</v>
      </c>
      <c r="I12" s="11" t="n">
        <f aca="false">COUNTIF('Travel Log'!$E:$E,$A12)</f>
        <v>0</v>
      </c>
    </row>
    <row r="13" customFormat="false" ht="15" hidden="false" customHeight="false" outlineLevel="0" collapsed="false">
      <c r="A13" s="12" t="s">
        <v>132</v>
      </c>
      <c r="B13" s="13" t="n">
        <f aca="false">SUM(B5:B12)</f>
        <v>6</v>
      </c>
      <c r="C13" s="13" t="n">
        <f aca="false">SUM(C5:C12)</f>
        <v>2</v>
      </c>
      <c r="D13" s="13" t="n">
        <f aca="false">SUM(D5:D12)</f>
        <v>0</v>
      </c>
      <c r="E13" s="13" t="n">
        <f aca="false">SUM(E5:E12)</f>
        <v>2</v>
      </c>
      <c r="F13" s="13" t="n">
        <f aca="false">SUM(F5:F12)</f>
        <v>1</v>
      </c>
      <c r="G13" s="13" t="n">
        <f aca="false">SUM(G5:G12)</f>
        <v>0</v>
      </c>
      <c r="H13" s="13" t="n">
        <f aca="false">SUM(H5:H12)</f>
        <v>3</v>
      </c>
      <c r="I13" s="13" t="n">
        <f aca="false">SUM(I5:I12)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0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6" t="s">
        <v>133</v>
      </c>
    </row>
    <row r="2" customFormat="false" ht="15" hidden="false" customHeight="false" outlineLevel="0" collapsed="false">
      <c r="A2" s="7" t="s">
        <v>134</v>
      </c>
    </row>
    <row r="4" customFormat="false" ht="15" hidden="false" customHeight="false" outlineLevel="0" collapsed="false">
      <c r="A4" s="8" t="s">
        <v>135</v>
      </c>
      <c r="B4" s="8" t="s">
        <v>136</v>
      </c>
      <c r="C4" s="8" t="s">
        <v>137</v>
      </c>
      <c r="D4" s="8" t="s">
        <v>138</v>
      </c>
      <c r="E4" s="8" t="s">
        <v>139</v>
      </c>
    </row>
    <row r="5" customFormat="false" ht="15" hidden="false" customHeight="false" outlineLevel="0" collapsed="false">
      <c r="A5" s="2" t="s">
        <v>140</v>
      </c>
      <c r="B5" s="2" t="s">
        <v>141</v>
      </c>
      <c r="C5" s="2" t="s">
        <v>142</v>
      </c>
      <c r="D5" s="2" t="s">
        <v>143</v>
      </c>
      <c r="E5" s="2" t="s">
        <v>144</v>
      </c>
    </row>
    <row r="6" customFormat="false" ht="15" hidden="false" customHeight="false" outlineLevel="0" collapsed="false">
      <c r="A6" s="2" t="s">
        <v>145</v>
      </c>
      <c r="B6" s="2" t="s">
        <v>146</v>
      </c>
      <c r="C6" s="2" t="s">
        <v>147</v>
      </c>
      <c r="D6" s="2" t="s">
        <v>148</v>
      </c>
      <c r="E6" s="2" t="s">
        <v>149</v>
      </c>
    </row>
    <row r="7" customFormat="false" ht="15" hidden="false" customHeight="false" outlineLevel="0" collapsed="false">
      <c r="A7" s="2" t="s">
        <v>150</v>
      </c>
      <c r="B7" s="2" t="s">
        <v>38</v>
      </c>
      <c r="C7" s="2" t="s">
        <v>151</v>
      </c>
      <c r="D7" s="2" t="s">
        <v>152</v>
      </c>
      <c r="E7" s="2" t="s">
        <v>153</v>
      </c>
    </row>
    <row r="8" customFormat="false" ht="15" hidden="false" customHeight="false" outlineLevel="0" collapsed="false">
      <c r="A8" s="2" t="s">
        <v>154</v>
      </c>
      <c r="B8" s="2" t="s">
        <v>38</v>
      </c>
      <c r="C8" s="2" t="s">
        <v>155</v>
      </c>
      <c r="D8" s="2" t="s">
        <v>156</v>
      </c>
      <c r="E8" s="2" t="s">
        <v>157</v>
      </c>
    </row>
    <row r="9" customFormat="false" ht="15" hidden="false" customHeight="false" outlineLevel="0" collapsed="false">
      <c r="A9" s="2" t="s">
        <v>158</v>
      </c>
      <c r="B9" s="2" t="s">
        <v>159</v>
      </c>
      <c r="C9" s="2" t="s">
        <v>160</v>
      </c>
      <c r="D9" s="2" t="s">
        <v>15</v>
      </c>
      <c r="E9" s="2" t="s">
        <v>161</v>
      </c>
    </row>
    <row r="10" customFormat="false" ht="15" hidden="false" customHeight="false" outlineLevel="0" collapsed="false">
      <c r="A10" s="2" t="s">
        <v>162</v>
      </c>
      <c r="B10" s="2" t="s">
        <v>163</v>
      </c>
      <c r="C10" s="2" t="s">
        <v>164</v>
      </c>
      <c r="D10" s="2" t="s">
        <v>45</v>
      </c>
      <c r="E10" s="2" t="s">
        <v>165</v>
      </c>
    </row>
    <row r="11" customFormat="false" ht="15" hidden="false" customHeight="false" outlineLevel="0" collapsed="false">
      <c r="A11" s="2" t="s">
        <v>166</v>
      </c>
      <c r="B11" s="2" t="s">
        <v>17</v>
      </c>
      <c r="C11" s="2" t="s">
        <v>167</v>
      </c>
      <c r="D11" s="2" t="s">
        <v>143</v>
      </c>
      <c r="E11" s="2" t="s">
        <v>168</v>
      </c>
    </row>
    <row r="12" customFormat="false" ht="15" hidden="false" customHeight="false" outlineLevel="0" collapsed="false">
      <c r="A12" s="2" t="s">
        <v>169</v>
      </c>
      <c r="B12" s="2" t="s">
        <v>17</v>
      </c>
      <c r="C12" s="2" t="s">
        <v>164</v>
      </c>
      <c r="D12" s="2" t="s">
        <v>15</v>
      </c>
      <c r="E12" s="2" t="s">
        <v>170</v>
      </c>
    </row>
    <row r="13" customFormat="false" ht="15" hidden="false" customHeight="false" outlineLevel="0" collapsed="false">
      <c r="A13" s="2" t="s">
        <v>171</v>
      </c>
      <c r="B13" s="2" t="s">
        <v>163</v>
      </c>
      <c r="C13" s="2" t="s">
        <v>172</v>
      </c>
      <c r="D13" s="2" t="s">
        <v>45</v>
      </c>
      <c r="E13" s="2" t="s">
        <v>173</v>
      </c>
    </row>
    <row r="14" customFormat="false" ht="15" hidden="false" customHeight="false" outlineLevel="0" collapsed="false">
      <c r="A14" s="2" t="s">
        <v>174</v>
      </c>
      <c r="B14" s="2" t="s">
        <v>175</v>
      </c>
      <c r="C14" s="2" t="s">
        <v>176</v>
      </c>
      <c r="D14" s="2" t="s">
        <v>148</v>
      </c>
      <c r="E14" s="2" t="s">
        <v>177</v>
      </c>
    </row>
    <row r="15" customFormat="false" ht="15" hidden="false" customHeight="false" outlineLevel="0" collapsed="false">
      <c r="A15" s="2" t="s">
        <v>178</v>
      </c>
      <c r="B15" s="2" t="s">
        <v>86</v>
      </c>
      <c r="C15" s="2" t="s">
        <v>179</v>
      </c>
      <c r="D15" s="2" t="s">
        <v>180</v>
      </c>
      <c r="E15" s="2" t="s">
        <v>181</v>
      </c>
    </row>
    <row r="16" customFormat="false" ht="15" hidden="false" customHeight="false" outlineLevel="0" collapsed="false">
      <c r="A16" s="2" t="s">
        <v>182</v>
      </c>
      <c r="B16" s="2" t="s">
        <v>183</v>
      </c>
      <c r="C16" s="2" t="s">
        <v>184</v>
      </c>
      <c r="D16" s="2" t="s">
        <v>185</v>
      </c>
      <c r="E16" s="2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4" t="s">
        <v>187</v>
      </c>
    </row>
    <row r="2" customFormat="false" ht="23.85" hidden="false" customHeight="false" outlineLevel="0" collapsed="false">
      <c r="A2" s="15" t="s">
        <v>188</v>
      </c>
    </row>
    <row r="4" customFormat="false" ht="15" hidden="false" customHeight="false" outlineLevel="0" collapsed="false">
      <c r="A4" s="16" t="s">
        <v>189</v>
      </c>
    </row>
    <row r="5" customFormat="false" ht="57.75" hidden="false" customHeight="true" outlineLevel="0" collapsed="false">
      <c r="A5" s="17" t="s">
        <v>190</v>
      </c>
    </row>
    <row r="6" customFormat="false" ht="57.75" hidden="false" customHeight="true" outlineLevel="0" collapsed="false">
      <c r="A6" s="17" t="s">
        <v>191</v>
      </c>
    </row>
    <row r="7" customFormat="false" ht="30" hidden="false" customHeight="true" outlineLevel="0" collapsed="false">
      <c r="A7" s="18" t="s">
        <v>192</v>
      </c>
    </row>
    <row r="9" customFormat="false" ht="15" hidden="false" customHeight="false" outlineLevel="0" collapsed="false">
      <c r="A9" s="16" t="s">
        <v>193</v>
      </c>
    </row>
    <row r="10" customFormat="false" ht="15" hidden="false" customHeight="false" outlineLevel="0" collapsed="false">
      <c r="A10" s="17" t="s">
        <v>194</v>
      </c>
    </row>
    <row r="11" customFormat="false" ht="15" hidden="false" customHeight="false" outlineLevel="0" collapsed="false">
      <c r="A11" s="17" t="s">
        <v>195</v>
      </c>
    </row>
    <row r="12" customFormat="false" ht="15" hidden="false" customHeight="false" outlineLevel="0" collapsed="false">
      <c r="A12" s="17" t="s">
        <v>196</v>
      </c>
    </row>
    <row r="13" customFormat="false" ht="30" hidden="false" customHeight="true" outlineLevel="0" collapsed="false">
      <c r="A13" s="17" t="s">
        <v>197</v>
      </c>
    </row>
    <row r="14" customFormat="false" ht="15" hidden="false" customHeight="false" outlineLevel="0" collapsed="false">
      <c r="A14" s="17" t="s">
        <v>198</v>
      </c>
    </row>
    <row r="16" customFormat="false" ht="15" hidden="false" customHeight="false" outlineLevel="0" collapsed="false">
      <c r="A16" s="18" t="s">
        <v>199</v>
      </c>
    </row>
    <row r="17" customFormat="false" ht="43.5" hidden="false" customHeight="true" outlineLevel="0" collapsed="false">
      <c r="A17" s="17" t="s">
        <v>200</v>
      </c>
    </row>
    <row r="19" customFormat="false" ht="15" hidden="false" customHeight="false" outlineLevel="0" collapsed="false">
      <c r="A19" s="16" t="s">
        <v>201</v>
      </c>
    </row>
    <row r="20" customFormat="false" ht="15" hidden="false" customHeight="false" outlineLevel="0" collapsed="false">
      <c r="A20" s="17" t="s">
        <v>202</v>
      </c>
    </row>
    <row r="21" customFormat="false" ht="30" hidden="false" customHeight="true" outlineLevel="0" collapsed="false">
      <c r="A21" s="17" t="s">
        <v>203</v>
      </c>
    </row>
    <row r="22" customFormat="false" ht="15" hidden="false" customHeight="false" outlineLevel="0" collapsed="false">
      <c r="A22" s="17" t="s">
        <v>204</v>
      </c>
    </row>
    <row r="23" customFormat="false" ht="43.5" hidden="false" customHeight="true" outlineLevel="0" collapsed="false">
      <c r="A23" s="17" t="s">
        <v>205</v>
      </c>
    </row>
    <row r="25" customFormat="false" ht="15" hidden="false" customHeight="false" outlineLevel="0" collapsed="false">
      <c r="A25" s="18" t="s">
        <v>206</v>
      </c>
    </row>
    <row r="26" customFormat="false" ht="30" hidden="false" customHeight="true" outlineLevel="0" collapsed="false">
      <c r="A26" s="17" t="s">
        <v>207</v>
      </c>
    </row>
    <row r="27" customFormat="false" ht="30" hidden="false" customHeight="true" outlineLevel="0" collapsed="false">
      <c r="A27" s="17" t="s">
        <v>208</v>
      </c>
    </row>
    <row r="29" customFormat="false" ht="15" hidden="false" customHeight="false" outlineLevel="0" collapsed="false">
      <c r="A29" s="15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2026-05-30T16:26:01Z</dcterms:created>
  <dc:creator>openpyxl</dc:creator>
  <dc:description/>
  <dc:language>en-US</dc:language>
  <cp:lastModifiedBy/>
  <dcterms:modified xsi:type="dcterms:W3CDTF">2026-05-30T16:26:01Z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