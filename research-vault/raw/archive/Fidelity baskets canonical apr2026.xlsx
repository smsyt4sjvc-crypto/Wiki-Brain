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  <sheet name="Summary" sheetId="2" state="visible" r:id="rId4"/>
    <sheet name="Second Order" sheetId="3" state="visible" r:id="rId5"/>
    <sheet name="MAG OVERLAP" sheetId="4" state="visible" r:id="rId6"/>
    <sheet name="Energy" sheetId="5" state="visible" r:id="rId7"/>
    <sheet name="Pow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<sst xmlns="http://schemas.openxmlformats.org/spreadsheetml/2006/main" count="395" uniqueCount="186">
  <si>
    <t xml:space="preserve">AI Infrastructure Portfolio — Combined Basket Master</t>
  </si>
  <si>
    <t xml:space="preserve">Jake Bishop | Independent Macro Research | Generated April 26, 2026</t>
  </si>
  <si>
    <t xml:space="preserve">Canonical post-voice-confirm structure | First auto-invest round Apr 28, 2026</t>
  </si>
  <si>
    <t xml:space="preserve">#</t>
  </si>
  <si>
    <t xml:space="preserve">Company</t>
  </si>
  <si>
    <t xml:space="preserve">Ticker</t>
  </si>
  <si>
    <t xml:space="preserve">Basket</t>
  </si>
  <si>
    <t xml:space="preserve">Basket Wt</t>
  </si>
  <si>
    <t xml:space="preserve">Monthly $</t>
  </si>
  <si>
    <t xml:space="preserve">Thesis Layer</t>
  </si>
  <si>
    <t xml:space="preserve">Thesis Note</t>
  </si>
  <si>
    <t xml:space="preserve">Micron Technology</t>
  </si>
  <si>
    <t xml:space="preserve">MU</t>
  </si>
  <si>
    <t xml:space="preserve">Second Order</t>
  </si>
  <si>
    <t xml:space="preserve">Semiconductor</t>
  </si>
  <si>
    <t xml:space="preserve">Memory/HBM — AI training bottleneck; HBM4 for Vera Rubin sold out through 2027</t>
  </si>
  <si>
    <t xml:space="preserve">Taiwan Semiconductor</t>
  </si>
  <si>
    <t xml:space="preserve">TSM</t>
  </si>
  <si>
    <t xml:space="preserve">Foundry</t>
  </si>
  <si>
    <t xml:space="preserve">World foundry; every AI chip runs through TSMC; 3nm booked</t>
  </si>
  <si>
    <t xml:space="preserve">Eli Lilly</t>
  </si>
  <si>
    <t xml:space="preserve">LLY</t>
  </si>
  <si>
    <t xml:space="preserve">Non-Correlated</t>
  </si>
  <si>
    <t xml:space="preserve">GLP-1 scale-up; fortress; uncorrelated to AI cycle</t>
  </si>
  <si>
    <t xml:space="preserve">Amazon</t>
  </si>
  <si>
    <t xml:space="preserve">AMZN</t>
  </si>
  <si>
    <t xml:space="preserve">Hyperscaler</t>
  </si>
  <si>
    <t xml:space="preserve">AWS + Trainium; $50B gov AI commitment; Anthropic anchor</t>
  </si>
  <si>
    <t xml:space="preserve">Arista Networks</t>
  </si>
  <si>
    <t xml:space="preserve">ANET</t>
  </si>
  <si>
    <t xml:space="preserve">Networking</t>
  </si>
  <si>
    <t xml:space="preserve">$5.4B deferred rev; Spectrum-X buyer; Google/Meta confirmed</t>
  </si>
  <si>
    <t xml:space="preserve">Meta Platforms</t>
  </si>
  <si>
    <t xml:space="preserve">META</t>
  </si>
  <si>
    <t xml:space="preserve">$60B AMD + Nvidia deals; AI infra arms race</t>
  </si>
  <si>
    <t xml:space="preserve">Broadcom</t>
  </si>
  <si>
    <t xml:space="preserve">AVGO</t>
  </si>
  <si>
    <t xml:space="preserve">Custom Silicon</t>
  </si>
  <si>
    <t xml:space="preserve">&gt;$100B AI backlog; TPU through 2031; Google/Meta/Apple</t>
  </si>
  <si>
    <t xml:space="preserve">Vertiv Holdings</t>
  </si>
  <si>
    <t xml:space="preserve">VRT</t>
  </si>
  <si>
    <t xml:space="preserve">Cooling/Power</t>
  </si>
  <si>
    <t xml:space="preserve">$15B backlog +109% YoY; 800VDC co-design with Nvidia</t>
  </si>
  <si>
    <t xml:space="preserve">Coherent</t>
  </si>
  <si>
    <t xml:space="preserve">COHR</t>
  </si>
  <si>
    <t xml:space="preserve">Optics</t>
  </si>
  <si>
    <t xml:space="preserve">4x book-to-bill 800G/1.6T transceivers; 2026-27 booked</t>
  </si>
  <si>
    <t xml:space="preserve">Alphabet (Class A)</t>
  </si>
  <si>
    <t xml:space="preserve">GOOGL</t>
  </si>
  <si>
    <t xml:space="preserve">TPU ecosystem; Anthropic $1B+ funding; DeepMind advantage</t>
  </si>
  <si>
    <t xml:space="preserve">Nebius Group</t>
  </si>
  <si>
    <t xml:space="preserve">NBIS</t>
  </si>
  <si>
    <t xml:space="preserve">Neocloud</t>
  </si>
  <si>
    <t xml:space="preserve">$17.4B Microsoft deal; 25x vs CRWV 47x — value neocloud</t>
  </si>
  <si>
    <t xml:space="preserve">NVIDIA</t>
  </si>
  <si>
    <t xml:space="preserve">NVDA</t>
  </si>
  <si>
    <t xml:space="preserve">GPU monopoly; Blackwell + Vera Rubin; $1T order backlog</t>
  </si>
  <si>
    <t xml:space="preserve">Microsoft</t>
  </si>
  <si>
    <t xml:space="preserve">MSFT</t>
  </si>
  <si>
    <t xml:space="preserve">OpenAI anchor; $250B Azure commitment; Nebius + IREN deals</t>
  </si>
  <si>
    <t xml:space="preserve">Amphenol</t>
  </si>
  <si>
    <t xml:space="preserve">APH</t>
  </si>
  <si>
    <t xml:space="preserve">Connectivity</t>
  </si>
  <si>
    <t xml:space="preserve">Connectors/cables for AI servers; broad hyperscaler exposure</t>
  </si>
  <si>
    <t xml:space="preserve">Advanced Micro Devices</t>
  </si>
  <si>
    <t xml:space="preserve">AMD</t>
  </si>
  <si>
    <t xml:space="preserve">$60B Meta deal; MI300 deployment; fabless TSMC dependency</t>
  </si>
  <si>
    <t xml:space="preserve">EMCOR Group</t>
  </si>
  <si>
    <t xml:space="preserve">EME</t>
  </si>
  <si>
    <t xml:space="preserve">Contractor</t>
  </si>
  <si>
    <t xml:space="preserve">Electrical/mechanical contractor; data center build exposure</t>
  </si>
  <si>
    <t xml:space="preserve">Marvell Technology</t>
  </si>
  <si>
    <t xml:space="preserve">MRVL</t>
  </si>
  <si>
    <t xml:space="preserve">Trainium/TPU ASIC design; custom silicon #2 behind AVGO</t>
  </si>
  <si>
    <t xml:space="preserve">Dell Technologies</t>
  </si>
  <si>
    <t xml:space="preserve">DELL</t>
  </si>
  <si>
    <t xml:space="preserve">MAG OVERLAP</t>
  </si>
  <si>
    <t xml:space="preserve">AI Servers</t>
  </si>
  <si>
    <t xml:space="preserve">Dell AI Factory with Nvidia; $43B backlog; multi-Mag-7 verified</t>
  </si>
  <si>
    <t xml:space="preserve">Leidos Holdings</t>
  </si>
  <si>
    <t xml:space="preserve">LDOS</t>
  </si>
  <si>
    <t xml:space="preserve">Defense Services</t>
  </si>
  <si>
    <t xml:space="preserve">Defense IT/AI services; intelligence community contracts</t>
  </si>
  <si>
    <t xml:space="preserve">AECOM</t>
  </si>
  <si>
    <t xml:space="preserve">ACM</t>
  </si>
  <si>
    <t xml:space="preserve">Infra Construction</t>
  </si>
  <si>
    <t xml:space="preserve">Data center + grid infrastructure construction at scale</t>
  </si>
  <si>
    <t xml:space="preserve">Palantir Technologies</t>
  </si>
  <si>
    <t xml:space="preserve">PLTR</t>
  </si>
  <si>
    <t xml:space="preserve">AI Deployment</t>
  </si>
  <si>
    <t xml:space="preserve">Enterprise + DoD AI deployment; AIP platform</t>
  </si>
  <si>
    <t xml:space="preserve">Lumentum Holdings</t>
  </si>
  <si>
    <t xml:space="preserve">LITE</t>
  </si>
  <si>
    <t xml:space="preserve">AI optics; Nvidia $2B investment; multi-Mag-7 confirmed</t>
  </si>
  <si>
    <t xml:space="preserve">Oracle</t>
  </si>
  <si>
    <t xml:space="preserve">ORCL</t>
  </si>
  <si>
    <t xml:space="preserve">Cloud</t>
  </si>
  <si>
    <t xml:space="preserve">$40B Nvidia chips for OpenAI; OCI 4.5GW build; Stargate UAE</t>
  </si>
  <si>
    <t xml:space="preserve">General Dynamics</t>
  </si>
  <si>
    <t xml:space="preserve">GD</t>
  </si>
  <si>
    <t xml:space="preserve">Defense IT + Gulfstream + naval systems; budget tailwind</t>
  </si>
  <si>
    <t xml:space="preserve">MP Materials</t>
  </si>
  <si>
    <t xml:space="preserve">MP</t>
  </si>
  <si>
    <t xml:space="preserve">Critical Minerals</t>
  </si>
  <si>
    <t xml:space="preserve">Apple $500M deal; rare earths; $13B critical minerals push</t>
  </si>
  <si>
    <t xml:space="preserve">GE Vernova</t>
  </si>
  <si>
    <t xml:space="preserve">GEV</t>
  </si>
  <si>
    <t xml:space="preserve">Energy</t>
  </si>
  <si>
    <t xml:space="preserve">Turbines/Grid</t>
  </si>
  <si>
    <t xml:space="preserve">AWS + Microsoft 4GW framework; sold out through 2028</t>
  </si>
  <si>
    <t xml:space="preserve">Constellation Energy</t>
  </si>
  <si>
    <t xml:space="preserve">CEG</t>
  </si>
  <si>
    <t xml:space="preserve">Nuclear Power</t>
  </si>
  <si>
    <t xml:space="preserve">20-yr PPAs with Microsoft (TMI) and Meta (Clinton); 1,121MW+</t>
  </si>
  <si>
    <t xml:space="preserve">Eaton</t>
  </si>
  <si>
    <t xml:space="preserve">ETN</t>
  </si>
  <si>
    <t xml:space="preserve">Power Distribution</t>
  </si>
  <si>
    <t xml:space="preserve">Grid-interactive data centers; AI factory power with Nvidia</t>
  </si>
  <si>
    <t xml:space="preserve">Microchip Technology</t>
  </si>
  <si>
    <t xml:space="preserve">MCHP</t>
  </si>
  <si>
    <t xml:space="preserve">Embedded controllers for power mgmt; AI adjacent</t>
  </si>
  <si>
    <t xml:space="preserve">Rocket Lab</t>
  </si>
  <si>
    <t xml:space="preserve">RKLB</t>
  </si>
  <si>
    <t xml:space="preserve">Aerospace</t>
  </si>
  <si>
    <t xml:space="preserve">Speculative — Neutron rocket + satellite infrastructure</t>
  </si>
  <si>
    <t xml:space="preserve">Oklo Class A</t>
  </si>
  <si>
    <t xml:space="preserve">OKLO</t>
  </si>
  <si>
    <t xml:space="preserve">Advanced Reactor</t>
  </si>
  <si>
    <t xml:space="preserve">SMR optionality; pre-revenue advanced reactor design</t>
  </si>
  <si>
    <t xml:space="preserve">Powell Industries</t>
  </si>
  <si>
    <t xml:space="preserve">POWL</t>
  </si>
  <si>
    <t xml:space="preserve">Power</t>
  </si>
  <si>
    <t xml:space="preserve">Switchgear</t>
  </si>
  <si>
    <t xml:space="preserve">$1.6B backlog; 1.7x book-to-bill; $100M+ data center Q1</t>
  </si>
  <si>
    <t xml:space="preserve">Quanta Services</t>
  </si>
  <si>
    <t xml:space="preserve">PWR</t>
  </si>
  <si>
    <t xml:space="preserve">Dominant HV transmission + data center cooling contractor</t>
  </si>
  <si>
    <t xml:space="preserve">Comfort Systems USA</t>
  </si>
  <si>
    <t xml:space="preserve">FIX</t>
  </si>
  <si>
    <t xml:space="preserve">Mission-critical mechanical/electrical for data centers</t>
  </si>
  <si>
    <t xml:space="preserve">Vistra Corp</t>
  </si>
  <si>
    <t xml:space="preserve">VST</t>
  </si>
  <si>
    <t xml:space="preserve">Nuclear/Gas</t>
  </si>
  <si>
    <t xml:space="preserve">2,600MW+ nuclear PPAs with Meta; AWS long-term deal</t>
  </si>
  <si>
    <t xml:space="preserve">REalloys</t>
  </si>
  <si>
    <t xml:space="preserve">ALOY</t>
  </si>
  <si>
    <t xml:space="preserve">Rare Earth</t>
  </si>
  <si>
    <t xml:space="preserve">Mine-to-magnet domestic RE; DoD contract; pre-revenue</t>
  </si>
  <si>
    <t xml:space="preserve">Bloom Energy</t>
  </si>
  <si>
    <t xml:space="preserve">BE</t>
  </si>
  <si>
    <t xml:space="preserve">Fuel Cells</t>
  </si>
  <si>
    <t xml:space="preserve">1GW AEP contract; 100MW+ Equinix; onsite AI power</t>
  </si>
  <si>
    <t xml:space="preserve">MYR Group</t>
  </si>
  <si>
    <t xml:space="preserve">MYRG</t>
  </si>
  <si>
    <t xml:space="preserve">Electrical contractor; competitor to Quanta at scale</t>
  </si>
  <si>
    <t xml:space="preserve">Modine Manufacturing</t>
  </si>
  <si>
    <t xml:space="preserve">MOD</t>
  </si>
  <si>
    <t xml:space="preserve">Thermal Mgmt</t>
  </si>
  <si>
    <t xml:space="preserve">Data center thermal management; small-cap VRT proxy</t>
  </si>
  <si>
    <t xml:space="preserve">Credo Technology</t>
  </si>
  <si>
    <t xml:space="preserve">CRDO</t>
  </si>
  <si>
    <t xml:space="preserve">Optics/AEC</t>
  </si>
  <si>
    <t xml:space="preserve">Cardinal 1.6T 3nm DSP; Robin 800G; AI networking</t>
  </si>
  <si>
    <t xml:space="preserve">Basket Summary</t>
  </si>
  <si>
    <t xml:space="preserve">Total funded across 4 baskets | Generated April 26, 2026</t>
  </si>
  <si>
    <t xml:space="preserve">Tickers</t>
  </si>
  <si>
    <t xml:space="preserve">Annual $</t>
  </si>
  <si>
    <t xml:space="preserve">Primary Thesis</t>
  </si>
  <si>
    <t xml:space="preserve">Semiconductor + hyperscaler + custom silicon supply chain (hybrid Mag-7 + supplier)</t>
  </si>
  <si>
    <t xml:space="preserve">Multi-Mag-7 verified contracts + AI deployment + defense services + critical minerals</t>
  </si>
  <si>
    <t xml:space="preserve">Generation + turbines + grid distribution + advanced reactor optionality</t>
  </si>
  <si>
    <t xml:space="preserve">Physical buildout — contractors, switchgear, thermal, fuel cells</t>
  </si>
  <si>
    <t xml:space="preserve">TOTAL</t>
  </si>
  <si>
    <t xml:space="preserve">Full AI infrastructure stack — generation through GPU cloud</t>
  </si>
  <si>
    <t xml:space="preserve">Transfer Architecture</t>
  </si>
  <si>
    <t xml:space="preserve">Cash Management (Z36614639) → TS7 (Z53211817):  $700/month  (Apr-28)</t>
  </si>
  <si>
    <t xml:space="preserve">TS7 → Second Order:  $250/month  (Apr-28)</t>
  </si>
  <si>
    <t xml:space="preserve">TS7 → MAG OVERLAP:  $125/month  (May-28)</t>
  </si>
  <si>
    <t xml:space="preserve">TS7 → Power:  $125/month  (May-28)</t>
  </si>
  <si>
    <t xml:space="preserve">TS7 → Energy:  $125/month  (May-28)</t>
  </si>
  <si>
    <t xml:space="preserve">Buffer retained in TS7:  $75/month</t>
  </si>
  <si>
    <t xml:space="preserve">Monthly contribution: $250  |  Annual: $3000  |  Tickers: 17</t>
  </si>
  <si>
    <t xml:space="preserve">Weight</t>
  </si>
  <si>
    <t xml:space="preserve">Monthly contribution: $125  |  Annual: $1500  |  Tickers: 8</t>
  </si>
  <si>
    <t xml:space="preserve">Monthly contribution: $125  |  Annual: $1500  |  Tickers: 6</t>
  </si>
  <si>
    <t xml:space="preserve">Monthly contribution: $125  |  Annual: $1500  |  Tickers: 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</si>
</sst>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#,##0.00"/>
    <numFmt numFmtId="167" formatCode="\$#,##0"/>
    <numFmt numFmtId="168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0"/>
      <color rgb="FF2F485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B4D7A"/>
      <name val="Arial"/>
      <family val="0"/>
      <charset val="1"/>
    </font>
    <font>
      <b val="true"/>
      <sz val="10"/>
      <color rgb="FF5C2E91"/>
      <name val="Arial"/>
      <family val="0"/>
      <charset val="1"/>
    </font>
    <font>
      <b val="true"/>
      <sz val="10"/>
      <color rgb="FF2E7D5C"/>
      <name val="Arial"/>
      <family val="0"/>
      <charset val="1"/>
    </font>
    <font>
      <b val="true"/>
      <sz val="10"/>
      <color rgb="FFB8651A"/>
      <name val="Arial"/>
      <family val="0"/>
      <charset val="1"/>
    </font>
    <font>
      <b val="true"/>
      <sz val="12"/>
      <color rgb="FF1B4D7A"/>
      <name val="Arial"/>
      <family val="0"/>
      <charset val="1"/>
    </font>
    <font>
      <b val="true"/>
      <sz val="12"/>
      <color rgb="FF5C2E91"/>
      <name val="Arial"/>
      <family val="0"/>
      <charset val="1"/>
    </font>
    <font>
      <b val="true"/>
      <sz val="12"/>
      <color rgb="FF2E7D5C"/>
      <name val="Arial"/>
      <family val="0"/>
      <charset val="1"/>
    </font>
    <font>
      <b val="true"/>
      <sz val="12"/>
      <color rgb="FFB8651A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8"/>
      <color rgb="FF1B4D7A"/>
      <name val="Arial"/>
      <family val="0"/>
      <charset val="1"/>
    </font>
    <font>
      <b val="true"/>
      <sz val="18"/>
      <color rgb="FF5C2E91"/>
      <name val="Arial"/>
      <family val="0"/>
      <charset val="1"/>
    </font>
    <font>
      <b val="true"/>
      <sz val="18"/>
      <color rgb="FF2E7D5C"/>
      <name val="Arial"/>
      <family val="0"/>
      <charset val="1"/>
    </font>
    <font>
      <b val="true"/>
      <sz val="18"/>
      <color rgb="FFB8651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2F4858"/>
      </patternFill>
    </fill>
    <fill>
      <patternFill patternType="solid">
        <fgColor rgb="FFF4F6F8"/>
        <bgColor rgb="FFFFFFFF"/>
      </patternFill>
    </fill>
    <fill>
      <patternFill patternType="solid">
        <fgColor rgb="FF1B4D7A"/>
        <bgColor rgb="FF2F4858"/>
      </patternFill>
    </fill>
    <fill>
      <patternFill patternType="solid">
        <fgColor rgb="FF5C2E91"/>
        <bgColor rgb="FF993366"/>
      </patternFill>
    </fill>
    <fill>
      <patternFill patternType="solid">
        <fgColor rgb="FF2E7D5C"/>
        <bgColor rgb="FF008080"/>
      </patternFill>
    </fill>
    <fill>
      <patternFill patternType="solid">
        <fgColor rgb="FFB8651A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651A"/>
      <rgbColor rgb="FF800080"/>
      <rgbColor rgb="FF008080"/>
      <rgbColor rgb="FFC0C0C0"/>
      <rgbColor rgb="FF808080"/>
      <rgbColor rgb="FF9999FF"/>
      <rgbColor rgb="FF993366"/>
      <rgbColor rgb="FFF4F6F8"/>
      <rgbColor rgb="FFCCFFFF"/>
      <rgbColor rgb="FF660066"/>
      <rgbColor rgb="FFFF8080"/>
      <rgbColor rgb="FF0066CC"/>
      <rgbColor rgb="FFD8DE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D7A"/>
      <rgbColor rgb="FF2E7D5C"/>
      <rgbColor rgb="FF003300"/>
      <rgbColor rgb="FF2F4858"/>
      <rgbColor rgb="FF993300"/>
      <rgbColor rgb="FF993366"/>
      <rgbColor rgb="FF5C2E91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7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6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3</v>
      </c>
      <c r="B5" s="4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n">
        <v>1</v>
      </c>
      <c r="B6" s="6" t="s">
        <v>11</v>
      </c>
      <c r="C6" s="7" t="s">
        <v>12</v>
      </c>
      <c r="D6" s="8" t="s">
        <v>13</v>
      </c>
      <c r="E6" s="9" t="n">
        <v>0.145</v>
      </c>
      <c r="F6" s="10" t="n">
        <f aca="false">E6*250</f>
        <v>36.25</v>
      </c>
      <c r="G6" s="6" t="s">
        <v>14</v>
      </c>
      <c r="H6" s="6" t="s">
        <v>15</v>
      </c>
    </row>
    <row r="7" customFormat="false" ht="15" hidden="false" customHeight="false" outlineLevel="0" collapsed="false">
      <c r="A7" s="11" t="n">
        <v>2</v>
      </c>
      <c r="B7" s="12" t="s">
        <v>16</v>
      </c>
      <c r="C7" s="13" t="s">
        <v>17</v>
      </c>
      <c r="D7" s="14" t="s">
        <v>13</v>
      </c>
      <c r="E7" s="15" t="n">
        <v>0.11</v>
      </c>
      <c r="F7" s="16" t="n">
        <f aca="false">E7*250</f>
        <v>27.5</v>
      </c>
      <c r="G7" s="12" t="s">
        <v>18</v>
      </c>
      <c r="H7" s="12" t="s">
        <v>19</v>
      </c>
    </row>
    <row r="8" customFormat="false" ht="15" hidden="false" customHeight="false" outlineLevel="0" collapsed="false">
      <c r="A8" s="5" t="n">
        <v>3</v>
      </c>
      <c r="B8" s="6" t="s">
        <v>20</v>
      </c>
      <c r="C8" s="7" t="s">
        <v>21</v>
      </c>
      <c r="D8" s="8" t="s">
        <v>13</v>
      </c>
      <c r="E8" s="9" t="n">
        <v>0.08</v>
      </c>
      <c r="F8" s="10" t="n">
        <f aca="false">E8*250</f>
        <v>20</v>
      </c>
      <c r="G8" s="6" t="s">
        <v>22</v>
      </c>
      <c r="H8" s="6" t="s">
        <v>23</v>
      </c>
    </row>
    <row r="9" customFormat="false" ht="15" hidden="false" customHeight="false" outlineLevel="0" collapsed="false">
      <c r="A9" s="11" t="n">
        <v>4</v>
      </c>
      <c r="B9" s="12" t="s">
        <v>24</v>
      </c>
      <c r="C9" s="13" t="s">
        <v>25</v>
      </c>
      <c r="D9" s="14" t="s">
        <v>13</v>
      </c>
      <c r="E9" s="15" t="n">
        <v>0.07</v>
      </c>
      <c r="F9" s="16" t="n">
        <f aca="false">E9*250</f>
        <v>17.5</v>
      </c>
      <c r="G9" s="12" t="s">
        <v>26</v>
      </c>
      <c r="H9" s="12" t="s">
        <v>27</v>
      </c>
    </row>
    <row r="10" customFormat="false" ht="15" hidden="false" customHeight="false" outlineLevel="0" collapsed="false">
      <c r="A10" s="5" t="n">
        <v>5</v>
      </c>
      <c r="B10" s="6" t="s">
        <v>28</v>
      </c>
      <c r="C10" s="7" t="s">
        <v>29</v>
      </c>
      <c r="D10" s="8" t="s">
        <v>13</v>
      </c>
      <c r="E10" s="9" t="n">
        <v>0.05</v>
      </c>
      <c r="F10" s="10" t="n">
        <f aca="false">E10*250</f>
        <v>12.5</v>
      </c>
      <c r="G10" s="6" t="s">
        <v>30</v>
      </c>
      <c r="H10" s="6" t="s">
        <v>31</v>
      </c>
    </row>
    <row r="11" customFormat="false" ht="15" hidden="false" customHeight="false" outlineLevel="0" collapsed="false">
      <c r="A11" s="11" t="n">
        <v>6</v>
      </c>
      <c r="B11" s="12" t="s">
        <v>32</v>
      </c>
      <c r="C11" s="13" t="s">
        <v>33</v>
      </c>
      <c r="D11" s="14" t="s">
        <v>13</v>
      </c>
      <c r="E11" s="15" t="n">
        <v>0.05</v>
      </c>
      <c r="F11" s="16" t="n">
        <f aca="false">E11*250</f>
        <v>12.5</v>
      </c>
      <c r="G11" s="12" t="s">
        <v>26</v>
      </c>
      <c r="H11" s="12" t="s">
        <v>34</v>
      </c>
    </row>
    <row r="12" customFormat="false" ht="15" hidden="false" customHeight="false" outlineLevel="0" collapsed="false">
      <c r="A12" s="5" t="n">
        <v>7</v>
      </c>
      <c r="B12" s="6" t="s">
        <v>35</v>
      </c>
      <c r="C12" s="7" t="s">
        <v>36</v>
      </c>
      <c r="D12" s="8" t="s">
        <v>13</v>
      </c>
      <c r="E12" s="9" t="n">
        <v>0.05</v>
      </c>
      <c r="F12" s="10" t="n">
        <f aca="false">E12*250</f>
        <v>12.5</v>
      </c>
      <c r="G12" s="6" t="s">
        <v>37</v>
      </c>
      <c r="H12" s="6" t="s">
        <v>38</v>
      </c>
    </row>
    <row r="13" customFormat="false" ht="15" hidden="false" customHeight="false" outlineLevel="0" collapsed="false">
      <c r="A13" s="11" t="n">
        <v>8</v>
      </c>
      <c r="B13" s="12" t="s">
        <v>39</v>
      </c>
      <c r="C13" s="13" t="s">
        <v>40</v>
      </c>
      <c r="D13" s="14" t="s">
        <v>13</v>
      </c>
      <c r="E13" s="15" t="n">
        <v>0.05</v>
      </c>
      <c r="F13" s="16" t="n">
        <f aca="false">E13*250</f>
        <v>12.5</v>
      </c>
      <c r="G13" s="12" t="s">
        <v>41</v>
      </c>
      <c r="H13" s="12" t="s">
        <v>42</v>
      </c>
    </row>
    <row r="14" customFormat="false" ht="15" hidden="false" customHeight="false" outlineLevel="0" collapsed="false">
      <c r="A14" s="5" t="n">
        <v>9</v>
      </c>
      <c r="B14" s="6" t="s">
        <v>43</v>
      </c>
      <c r="C14" s="7" t="s">
        <v>44</v>
      </c>
      <c r="D14" s="8" t="s">
        <v>13</v>
      </c>
      <c r="E14" s="9" t="n">
        <v>0.05</v>
      </c>
      <c r="F14" s="10" t="n">
        <f aca="false">E14*250</f>
        <v>12.5</v>
      </c>
      <c r="G14" s="6" t="s">
        <v>45</v>
      </c>
      <c r="H14" s="6" t="s">
        <v>46</v>
      </c>
    </row>
    <row r="15" customFormat="false" ht="15" hidden="false" customHeight="false" outlineLevel="0" collapsed="false">
      <c r="A15" s="11" t="n">
        <v>10</v>
      </c>
      <c r="B15" s="12" t="s">
        <v>47</v>
      </c>
      <c r="C15" s="13" t="s">
        <v>48</v>
      </c>
      <c r="D15" s="14" t="s">
        <v>13</v>
      </c>
      <c r="E15" s="15" t="n">
        <v>0.05</v>
      </c>
      <c r="F15" s="16" t="n">
        <f aca="false">E15*250</f>
        <v>12.5</v>
      </c>
      <c r="G15" s="12" t="s">
        <v>26</v>
      </c>
      <c r="H15" s="12" t="s">
        <v>49</v>
      </c>
    </row>
    <row r="16" customFormat="false" ht="15" hidden="false" customHeight="false" outlineLevel="0" collapsed="false">
      <c r="A16" s="5" t="n">
        <v>11</v>
      </c>
      <c r="B16" s="6" t="s">
        <v>50</v>
      </c>
      <c r="C16" s="7" t="s">
        <v>51</v>
      </c>
      <c r="D16" s="8" t="s">
        <v>13</v>
      </c>
      <c r="E16" s="9" t="n">
        <v>0.05</v>
      </c>
      <c r="F16" s="10" t="n">
        <f aca="false">E16*250</f>
        <v>12.5</v>
      </c>
      <c r="G16" s="6" t="s">
        <v>52</v>
      </c>
      <c r="H16" s="6" t="s">
        <v>53</v>
      </c>
    </row>
    <row r="17" customFormat="false" ht="15" hidden="false" customHeight="false" outlineLevel="0" collapsed="false">
      <c r="A17" s="11" t="n">
        <v>12</v>
      </c>
      <c r="B17" s="12" t="s">
        <v>54</v>
      </c>
      <c r="C17" s="13" t="s">
        <v>55</v>
      </c>
      <c r="D17" s="14" t="s">
        <v>13</v>
      </c>
      <c r="E17" s="15" t="n">
        <v>0.05</v>
      </c>
      <c r="F17" s="16" t="n">
        <f aca="false">E17*250</f>
        <v>12.5</v>
      </c>
      <c r="G17" s="12" t="s">
        <v>14</v>
      </c>
      <c r="H17" s="12" t="s">
        <v>56</v>
      </c>
    </row>
    <row r="18" customFormat="false" ht="15" hidden="false" customHeight="false" outlineLevel="0" collapsed="false">
      <c r="A18" s="5" t="n">
        <v>13</v>
      </c>
      <c r="B18" s="6" t="s">
        <v>57</v>
      </c>
      <c r="C18" s="7" t="s">
        <v>58</v>
      </c>
      <c r="D18" s="8" t="s">
        <v>13</v>
      </c>
      <c r="E18" s="9" t="n">
        <v>0.05</v>
      </c>
      <c r="F18" s="10" t="n">
        <f aca="false">E18*250</f>
        <v>12.5</v>
      </c>
      <c r="G18" s="6" t="s">
        <v>26</v>
      </c>
      <c r="H18" s="6" t="s">
        <v>59</v>
      </c>
    </row>
    <row r="19" customFormat="false" ht="15" hidden="false" customHeight="false" outlineLevel="0" collapsed="false">
      <c r="A19" s="11" t="n">
        <v>14</v>
      </c>
      <c r="B19" s="12" t="s">
        <v>60</v>
      </c>
      <c r="C19" s="13" t="s">
        <v>61</v>
      </c>
      <c r="D19" s="14" t="s">
        <v>13</v>
      </c>
      <c r="E19" s="15" t="n">
        <v>0.04</v>
      </c>
      <c r="F19" s="16" t="n">
        <f aca="false">E19*250</f>
        <v>10</v>
      </c>
      <c r="G19" s="12" t="s">
        <v>62</v>
      </c>
      <c r="H19" s="12" t="s">
        <v>63</v>
      </c>
    </row>
    <row r="20" customFormat="false" ht="15" hidden="false" customHeight="false" outlineLevel="0" collapsed="false">
      <c r="A20" s="5" t="n">
        <v>15</v>
      </c>
      <c r="B20" s="6" t="s">
        <v>64</v>
      </c>
      <c r="C20" s="7" t="s">
        <v>65</v>
      </c>
      <c r="D20" s="8" t="s">
        <v>13</v>
      </c>
      <c r="E20" s="9" t="n">
        <v>0.04</v>
      </c>
      <c r="F20" s="10" t="n">
        <f aca="false">E20*250</f>
        <v>10</v>
      </c>
      <c r="G20" s="6" t="s">
        <v>14</v>
      </c>
      <c r="H20" s="6" t="s">
        <v>66</v>
      </c>
    </row>
    <row r="21" customFormat="false" ht="15" hidden="false" customHeight="false" outlineLevel="0" collapsed="false">
      <c r="A21" s="11" t="n">
        <v>16</v>
      </c>
      <c r="B21" s="12" t="s">
        <v>67</v>
      </c>
      <c r="C21" s="13" t="s">
        <v>68</v>
      </c>
      <c r="D21" s="14" t="s">
        <v>13</v>
      </c>
      <c r="E21" s="15" t="n">
        <v>0.04</v>
      </c>
      <c r="F21" s="16" t="n">
        <f aca="false">E21*250</f>
        <v>10</v>
      </c>
      <c r="G21" s="12" t="s">
        <v>69</v>
      </c>
      <c r="H21" s="12" t="s">
        <v>70</v>
      </c>
    </row>
    <row r="22" customFormat="false" ht="15" hidden="false" customHeight="false" outlineLevel="0" collapsed="false">
      <c r="A22" s="5" t="n">
        <v>17</v>
      </c>
      <c r="B22" s="6" t="s">
        <v>71</v>
      </c>
      <c r="C22" s="7" t="s">
        <v>72</v>
      </c>
      <c r="D22" s="8" t="s">
        <v>13</v>
      </c>
      <c r="E22" s="9" t="n">
        <v>0.025</v>
      </c>
      <c r="F22" s="10" t="n">
        <f aca="false">E22*250</f>
        <v>6.25</v>
      </c>
      <c r="G22" s="6" t="s">
        <v>37</v>
      </c>
      <c r="H22" s="6" t="s">
        <v>73</v>
      </c>
    </row>
    <row r="23" customFormat="false" ht="15" hidden="false" customHeight="false" outlineLevel="0" collapsed="false">
      <c r="A23" s="11" t="n">
        <v>18</v>
      </c>
      <c r="B23" s="12" t="s">
        <v>74</v>
      </c>
      <c r="C23" s="13" t="s">
        <v>75</v>
      </c>
      <c r="D23" s="17" t="s">
        <v>76</v>
      </c>
      <c r="E23" s="15" t="n">
        <v>0.2</v>
      </c>
      <c r="F23" s="16" t="n">
        <f aca="false">E23*125</f>
        <v>25</v>
      </c>
      <c r="G23" s="12" t="s">
        <v>77</v>
      </c>
      <c r="H23" s="12" t="s">
        <v>78</v>
      </c>
    </row>
    <row r="24" customFormat="false" ht="15" hidden="false" customHeight="false" outlineLevel="0" collapsed="false">
      <c r="A24" s="5" t="n">
        <v>19</v>
      </c>
      <c r="B24" s="6" t="s">
        <v>79</v>
      </c>
      <c r="C24" s="7" t="s">
        <v>80</v>
      </c>
      <c r="D24" s="18" t="s">
        <v>76</v>
      </c>
      <c r="E24" s="9" t="n">
        <v>0.15</v>
      </c>
      <c r="F24" s="10" t="n">
        <f aca="false">E24*125</f>
        <v>18.75</v>
      </c>
      <c r="G24" s="6" t="s">
        <v>81</v>
      </c>
      <c r="H24" s="6" t="s">
        <v>82</v>
      </c>
    </row>
    <row r="25" customFormat="false" ht="15" hidden="false" customHeight="false" outlineLevel="0" collapsed="false">
      <c r="A25" s="11" t="n">
        <v>20</v>
      </c>
      <c r="B25" s="12" t="s">
        <v>83</v>
      </c>
      <c r="C25" s="13" t="s">
        <v>84</v>
      </c>
      <c r="D25" s="17" t="s">
        <v>76</v>
      </c>
      <c r="E25" s="15" t="n">
        <v>0.15</v>
      </c>
      <c r="F25" s="16" t="n">
        <f aca="false">E25*125</f>
        <v>18.75</v>
      </c>
      <c r="G25" s="12" t="s">
        <v>85</v>
      </c>
      <c r="H25" s="12" t="s">
        <v>86</v>
      </c>
    </row>
    <row r="26" customFormat="false" ht="15" hidden="false" customHeight="false" outlineLevel="0" collapsed="false">
      <c r="A26" s="5" t="n">
        <v>21</v>
      </c>
      <c r="B26" s="6" t="s">
        <v>87</v>
      </c>
      <c r="C26" s="7" t="s">
        <v>88</v>
      </c>
      <c r="D26" s="18" t="s">
        <v>76</v>
      </c>
      <c r="E26" s="9" t="n">
        <v>0.13</v>
      </c>
      <c r="F26" s="10" t="n">
        <f aca="false">E26*125</f>
        <v>16.25</v>
      </c>
      <c r="G26" s="6" t="s">
        <v>89</v>
      </c>
      <c r="H26" s="6" t="s">
        <v>90</v>
      </c>
    </row>
    <row r="27" customFormat="false" ht="15" hidden="false" customHeight="false" outlineLevel="0" collapsed="false">
      <c r="A27" s="11" t="n">
        <v>22</v>
      </c>
      <c r="B27" s="12" t="s">
        <v>91</v>
      </c>
      <c r="C27" s="13" t="s">
        <v>92</v>
      </c>
      <c r="D27" s="17" t="s">
        <v>76</v>
      </c>
      <c r="E27" s="15" t="n">
        <v>0.1</v>
      </c>
      <c r="F27" s="16" t="n">
        <f aca="false">E27*125</f>
        <v>12.5</v>
      </c>
      <c r="G27" s="12" t="s">
        <v>45</v>
      </c>
      <c r="H27" s="12" t="s">
        <v>93</v>
      </c>
    </row>
    <row r="28" customFormat="false" ht="15" hidden="false" customHeight="false" outlineLevel="0" collapsed="false">
      <c r="A28" s="5" t="n">
        <v>23</v>
      </c>
      <c r="B28" s="6" t="s">
        <v>94</v>
      </c>
      <c r="C28" s="7" t="s">
        <v>95</v>
      </c>
      <c r="D28" s="18" t="s">
        <v>76</v>
      </c>
      <c r="E28" s="9" t="n">
        <v>0.1</v>
      </c>
      <c r="F28" s="10" t="n">
        <f aca="false">E28*125</f>
        <v>12.5</v>
      </c>
      <c r="G28" s="6" t="s">
        <v>96</v>
      </c>
      <c r="H28" s="6" t="s">
        <v>97</v>
      </c>
    </row>
    <row r="29" customFormat="false" ht="15" hidden="false" customHeight="false" outlineLevel="0" collapsed="false">
      <c r="A29" s="11" t="n">
        <v>24</v>
      </c>
      <c r="B29" s="12" t="s">
        <v>98</v>
      </c>
      <c r="C29" s="13" t="s">
        <v>99</v>
      </c>
      <c r="D29" s="17" t="s">
        <v>76</v>
      </c>
      <c r="E29" s="15" t="n">
        <v>0.1</v>
      </c>
      <c r="F29" s="16" t="n">
        <f aca="false">E29*125</f>
        <v>12.5</v>
      </c>
      <c r="G29" s="12" t="s">
        <v>81</v>
      </c>
      <c r="H29" s="12" t="s">
        <v>100</v>
      </c>
    </row>
    <row r="30" customFormat="false" ht="15" hidden="false" customHeight="false" outlineLevel="0" collapsed="false">
      <c r="A30" s="5" t="n">
        <v>25</v>
      </c>
      <c r="B30" s="6" t="s">
        <v>101</v>
      </c>
      <c r="C30" s="7" t="s">
        <v>102</v>
      </c>
      <c r="D30" s="18" t="s">
        <v>76</v>
      </c>
      <c r="E30" s="9" t="n">
        <v>0.07</v>
      </c>
      <c r="F30" s="10" t="n">
        <f aca="false">E30*125</f>
        <v>8.75</v>
      </c>
      <c r="G30" s="6" t="s">
        <v>103</v>
      </c>
      <c r="H30" s="6" t="s">
        <v>104</v>
      </c>
    </row>
    <row r="31" customFormat="false" ht="15" hidden="false" customHeight="false" outlineLevel="0" collapsed="false">
      <c r="A31" s="11" t="n">
        <v>26</v>
      </c>
      <c r="B31" s="12" t="s">
        <v>105</v>
      </c>
      <c r="C31" s="13" t="s">
        <v>106</v>
      </c>
      <c r="D31" s="19" t="s">
        <v>107</v>
      </c>
      <c r="E31" s="15" t="n">
        <v>0.25</v>
      </c>
      <c r="F31" s="16" t="n">
        <f aca="false">E31*125</f>
        <v>31.25</v>
      </c>
      <c r="G31" s="12" t="s">
        <v>108</v>
      </c>
      <c r="H31" s="12" t="s">
        <v>109</v>
      </c>
    </row>
    <row r="32" customFormat="false" ht="15" hidden="false" customHeight="false" outlineLevel="0" collapsed="false">
      <c r="A32" s="5" t="n">
        <v>27</v>
      </c>
      <c r="B32" s="6" t="s">
        <v>110</v>
      </c>
      <c r="C32" s="7" t="s">
        <v>111</v>
      </c>
      <c r="D32" s="20" t="s">
        <v>107</v>
      </c>
      <c r="E32" s="9" t="n">
        <v>0.25</v>
      </c>
      <c r="F32" s="10" t="n">
        <f aca="false">E32*125</f>
        <v>31.25</v>
      </c>
      <c r="G32" s="6" t="s">
        <v>112</v>
      </c>
      <c r="H32" s="6" t="s">
        <v>113</v>
      </c>
    </row>
    <row r="33" customFormat="false" ht="15" hidden="false" customHeight="false" outlineLevel="0" collapsed="false">
      <c r="A33" s="11" t="n">
        <v>28</v>
      </c>
      <c r="B33" s="12" t="s">
        <v>114</v>
      </c>
      <c r="C33" s="13" t="s">
        <v>115</v>
      </c>
      <c r="D33" s="19" t="s">
        <v>107</v>
      </c>
      <c r="E33" s="15" t="n">
        <v>0.2</v>
      </c>
      <c r="F33" s="16" t="n">
        <f aca="false">E33*125</f>
        <v>25</v>
      </c>
      <c r="G33" s="12" t="s">
        <v>116</v>
      </c>
      <c r="H33" s="12" t="s">
        <v>117</v>
      </c>
    </row>
    <row r="34" customFormat="false" ht="15" hidden="false" customHeight="false" outlineLevel="0" collapsed="false">
      <c r="A34" s="5" t="n">
        <v>29</v>
      </c>
      <c r="B34" s="6" t="s">
        <v>118</v>
      </c>
      <c r="C34" s="7" t="s">
        <v>119</v>
      </c>
      <c r="D34" s="20" t="s">
        <v>107</v>
      </c>
      <c r="E34" s="9" t="n">
        <v>0.1</v>
      </c>
      <c r="F34" s="10" t="n">
        <f aca="false">E34*125</f>
        <v>12.5</v>
      </c>
      <c r="G34" s="6" t="s">
        <v>14</v>
      </c>
      <c r="H34" s="6" t="s">
        <v>120</v>
      </c>
    </row>
    <row r="35" customFormat="false" ht="15" hidden="false" customHeight="false" outlineLevel="0" collapsed="false">
      <c r="A35" s="11" t="n">
        <v>30</v>
      </c>
      <c r="B35" s="12" t="s">
        <v>121</v>
      </c>
      <c r="C35" s="13" t="s">
        <v>122</v>
      </c>
      <c r="D35" s="19" t="s">
        <v>107</v>
      </c>
      <c r="E35" s="15" t="n">
        <v>0.1</v>
      </c>
      <c r="F35" s="16" t="n">
        <f aca="false">E35*125</f>
        <v>12.5</v>
      </c>
      <c r="G35" s="12" t="s">
        <v>123</v>
      </c>
      <c r="H35" s="12" t="s">
        <v>124</v>
      </c>
    </row>
    <row r="36" customFormat="false" ht="15" hidden="false" customHeight="false" outlineLevel="0" collapsed="false">
      <c r="A36" s="5" t="n">
        <v>31</v>
      </c>
      <c r="B36" s="6" t="s">
        <v>125</v>
      </c>
      <c r="C36" s="7" t="s">
        <v>126</v>
      </c>
      <c r="D36" s="20" t="s">
        <v>107</v>
      </c>
      <c r="E36" s="9" t="n">
        <v>0.1</v>
      </c>
      <c r="F36" s="10" t="n">
        <f aca="false">E36*125</f>
        <v>12.5</v>
      </c>
      <c r="G36" s="6" t="s">
        <v>127</v>
      </c>
      <c r="H36" s="6" t="s">
        <v>128</v>
      </c>
    </row>
    <row r="37" customFormat="false" ht="15" hidden="false" customHeight="false" outlineLevel="0" collapsed="false">
      <c r="A37" s="11" t="n">
        <v>32</v>
      </c>
      <c r="B37" s="12" t="s">
        <v>129</v>
      </c>
      <c r="C37" s="13" t="s">
        <v>130</v>
      </c>
      <c r="D37" s="21" t="s">
        <v>131</v>
      </c>
      <c r="E37" s="15" t="n">
        <v>0.15</v>
      </c>
      <c r="F37" s="16" t="n">
        <f aca="false">E37*125</f>
        <v>18.75</v>
      </c>
      <c r="G37" s="12" t="s">
        <v>132</v>
      </c>
      <c r="H37" s="12" t="s">
        <v>133</v>
      </c>
    </row>
    <row r="38" customFormat="false" ht="15" hidden="false" customHeight="false" outlineLevel="0" collapsed="false">
      <c r="A38" s="5" t="n">
        <v>33</v>
      </c>
      <c r="B38" s="6" t="s">
        <v>134</v>
      </c>
      <c r="C38" s="7" t="s">
        <v>135</v>
      </c>
      <c r="D38" s="22" t="s">
        <v>131</v>
      </c>
      <c r="E38" s="9" t="n">
        <v>0.15</v>
      </c>
      <c r="F38" s="10" t="n">
        <f aca="false">E38*125</f>
        <v>18.75</v>
      </c>
      <c r="G38" s="6" t="s">
        <v>69</v>
      </c>
      <c r="H38" s="6" t="s">
        <v>136</v>
      </c>
    </row>
    <row r="39" customFormat="false" ht="15" hidden="false" customHeight="false" outlineLevel="0" collapsed="false">
      <c r="A39" s="11" t="n">
        <v>34</v>
      </c>
      <c r="B39" s="12" t="s">
        <v>137</v>
      </c>
      <c r="C39" s="13" t="s">
        <v>138</v>
      </c>
      <c r="D39" s="21" t="s">
        <v>131</v>
      </c>
      <c r="E39" s="15" t="n">
        <v>0.12</v>
      </c>
      <c r="F39" s="16" t="n">
        <f aca="false">E39*125</f>
        <v>15</v>
      </c>
      <c r="G39" s="12" t="s">
        <v>69</v>
      </c>
      <c r="H39" s="12" t="s">
        <v>139</v>
      </c>
    </row>
    <row r="40" customFormat="false" ht="15" hidden="false" customHeight="false" outlineLevel="0" collapsed="false">
      <c r="A40" s="5" t="n">
        <v>35</v>
      </c>
      <c r="B40" s="6" t="s">
        <v>140</v>
      </c>
      <c r="C40" s="7" t="s">
        <v>141</v>
      </c>
      <c r="D40" s="22" t="s">
        <v>131</v>
      </c>
      <c r="E40" s="9" t="n">
        <v>0.11</v>
      </c>
      <c r="F40" s="10" t="n">
        <f aca="false">E40*125</f>
        <v>13.75</v>
      </c>
      <c r="G40" s="6" t="s">
        <v>142</v>
      </c>
      <c r="H40" s="6" t="s">
        <v>143</v>
      </c>
    </row>
    <row r="41" customFormat="false" ht="15" hidden="false" customHeight="false" outlineLevel="0" collapsed="false">
      <c r="A41" s="11" t="n">
        <v>36</v>
      </c>
      <c r="B41" s="12" t="s">
        <v>144</v>
      </c>
      <c r="C41" s="13" t="s">
        <v>145</v>
      </c>
      <c r="D41" s="21" t="s">
        <v>131</v>
      </c>
      <c r="E41" s="15" t="n">
        <v>0.1</v>
      </c>
      <c r="F41" s="16" t="n">
        <f aca="false">E41*125</f>
        <v>12.5</v>
      </c>
      <c r="G41" s="12" t="s">
        <v>146</v>
      </c>
      <c r="H41" s="12" t="s">
        <v>147</v>
      </c>
    </row>
    <row r="42" customFormat="false" ht="15" hidden="false" customHeight="false" outlineLevel="0" collapsed="false">
      <c r="A42" s="5" t="n">
        <v>37</v>
      </c>
      <c r="B42" s="6" t="s">
        <v>148</v>
      </c>
      <c r="C42" s="7" t="s">
        <v>149</v>
      </c>
      <c r="D42" s="22" t="s">
        <v>131</v>
      </c>
      <c r="E42" s="9" t="n">
        <v>0.1</v>
      </c>
      <c r="F42" s="10" t="n">
        <f aca="false">E42*125</f>
        <v>12.5</v>
      </c>
      <c r="G42" s="6" t="s">
        <v>150</v>
      </c>
      <c r="H42" s="6" t="s">
        <v>151</v>
      </c>
    </row>
    <row r="43" customFormat="false" ht="15" hidden="false" customHeight="false" outlineLevel="0" collapsed="false">
      <c r="A43" s="11" t="n">
        <v>38</v>
      </c>
      <c r="B43" s="12" t="s">
        <v>152</v>
      </c>
      <c r="C43" s="13" t="s">
        <v>153</v>
      </c>
      <c r="D43" s="21" t="s">
        <v>131</v>
      </c>
      <c r="E43" s="15" t="n">
        <v>0.1</v>
      </c>
      <c r="F43" s="16" t="n">
        <f aca="false">E43*125</f>
        <v>12.5</v>
      </c>
      <c r="G43" s="12" t="s">
        <v>69</v>
      </c>
      <c r="H43" s="12" t="s">
        <v>154</v>
      </c>
    </row>
    <row r="44" customFormat="false" ht="15" hidden="false" customHeight="false" outlineLevel="0" collapsed="false">
      <c r="A44" s="5" t="n">
        <v>39</v>
      </c>
      <c r="B44" s="6" t="s">
        <v>155</v>
      </c>
      <c r="C44" s="7" t="s">
        <v>156</v>
      </c>
      <c r="D44" s="22" t="s">
        <v>131</v>
      </c>
      <c r="E44" s="9" t="n">
        <v>0.1</v>
      </c>
      <c r="F44" s="10" t="n">
        <f aca="false">E44*125</f>
        <v>12.5</v>
      </c>
      <c r="G44" s="6" t="s">
        <v>157</v>
      </c>
      <c r="H44" s="6" t="s">
        <v>158</v>
      </c>
    </row>
    <row r="45" customFormat="false" ht="15" hidden="false" customHeight="false" outlineLevel="0" collapsed="false">
      <c r="A45" s="11" t="n">
        <v>40</v>
      </c>
      <c r="B45" s="12" t="s">
        <v>159</v>
      </c>
      <c r="C45" s="13" t="s">
        <v>160</v>
      </c>
      <c r="D45" s="21" t="s">
        <v>131</v>
      </c>
      <c r="E45" s="15" t="n">
        <v>0.07</v>
      </c>
      <c r="F45" s="16" t="n">
        <f aca="false">E45*125</f>
        <v>8.75</v>
      </c>
      <c r="G45" s="12" t="s">
        <v>161</v>
      </c>
      <c r="H45" s="12" t="s">
        <v>162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4" min="3" style="0" width="13"/>
    <col collapsed="false" customWidth="true" hidden="false" outlineLevel="0" max="5" min="5" style="0" width="70"/>
  </cols>
  <sheetData>
    <row r="1" customFormat="false" ht="19.7" hidden="false" customHeight="false" outlineLevel="0" collapsed="false">
      <c r="A1" s="1" t="s">
        <v>163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164</v>
      </c>
      <c r="B2" s="2"/>
      <c r="C2" s="2"/>
      <c r="D2" s="2"/>
      <c r="E2" s="2"/>
    </row>
    <row r="4" customFormat="false" ht="15" hidden="false" customHeight="false" outlineLevel="0" collapsed="false">
      <c r="A4" s="4" t="s">
        <v>6</v>
      </c>
      <c r="B4" s="3" t="s">
        <v>165</v>
      </c>
      <c r="C4" s="3" t="s">
        <v>8</v>
      </c>
      <c r="D4" s="3" t="s">
        <v>166</v>
      </c>
      <c r="E4" s="4" t="s">
        <v>167</v>
      </c>
    </row>
    <row r="5" customFormat="false" ht="15" hidden="false" customHeight="false" outlineLevel="0" collapsed="false">
      <c r="A5" s="23" t="s">
        <v>13</v>
      </c>
      <c r="B5" s="5" t="n">
        <v>17</v>
      </c>
      <c r="C5" s="24" t="n">
        <v>250</v>
      </c>
      <c r="D5" s="24" t="n">
        <f aca="false">C5*12</f>
        <v>3000</v>
      </c>
      <c r="E5" s="6" t="s">
        <v>168</v>
      </c>
    </row>
    <row r="6" customFormat="false" ht="15" hidden="false" customHeight="false" outlineLevel="0" collapsed="false">
      <c r="A6" s="25" t="s">
        <v>76</v>
      </c>
      <c r="B6" s="5" t="n">
        <v>8</v>
      </c>
      <c r="C6" s="24" t="n">
        <v>125</v>
      </c>
      <c r="D6" s="24" t="n">
        <f aca="false">C6*12</f>
        <v>1500</v>
      </c>
      <c r="E6" s="6" t="s">
        <v>169</v>
      </c>
    </row>
    <row r="7" customFormat="false" ht="15" hidden="false" customHeight="false" outlineLevel="0" collapsed="false">
      <c r="A7" s="26" t="s">
        <v>107</v>
      </c>
      <c r="B7" s="5" t="n">
        <v>6</v>
      </c>
      <c r="C7" s="24" t="n">
        <v>125</v>
      </c>
      <c r="D7" s="24" t="n">
        <f aca="false">C7*12</f>
        <v>1500</v>
      </c>
      <c r="E7" s="6" t="s">
        <v>170</v>
      </c>
    </row>
    <row r="8" customFormat="false" ht="15" hidden="false" customHeight="false" outlineLevel="0" collapsed="false">
      <c r="A8" s="27" t="s">
        <v>131</v>
      </c>
      <c r="B8" s="5" t="n">
        <v>9</v>
      </c>
      <c r="C8" s="24" t="n">
        <v>125</v>
      </c>
      <c r="D8" s="24" t="n">
        <f aca="false">C8*12</f>
        <v>1500</v>
      </c>
      <c r="E8" s="6" t="s">
        <v>171</v>
      </c>
    </row>
    <row r="9" customFormat="false" ht="15" hidden="false" customHeight="false" outlineLevel="0" collapsed="false">
      <c r="A9" s="28" t="s">
        <v>172</v>
      </c>
      <c r="B9" s="29" t="n">
        <f aca="false">SUM(B5:B8)</f>
        <v>40</v>
      </c>
      <c r="C9" s="30" t="n">
        <f aca="false">SUM(C5:C8)</f>
        <v>625</v>
      </c>
      <c r="D9" s="30" t="n">
        <f aca="false">SUM(D5:D8)</f>
        <v>7500</v>
      </c>
      <c r="E9" s="31" t="s">
        <v>173</v>
      </c>
    </row>
    <row r="12" customFormat="false" ht="15" hidden="false" customHeight="false" outlineLevel="0" collapsed="false">
      <c r="A12" s="32" t="s">
        <v>174</v>
      </c>
      <c r="B12" s="32"/>
      <c r="C12" s="32"/>
      <c r="D12" s="32"/>
      <c r="E12" s="32"/>
    </row>
    <row r="13" customFormat="false" ht="15" hidden="false" customHeight="false" outlineLevel="0" collapsed="false">
      <c r="A13" s="33" t="s">
        <v>175</v>
      </c>
      <c r="B13" s="33"/>
      <c r="C13" s="33"/>
      <c r="D13" s="33"/>
      <c r="E13" s="33"/>
    </row>
    <row r="14" customFormat="false" ht="15" hidden="false" customHeight="false" outlineLevel="0" collapsed="false">
      <c r="A14" s="33" t="s">
        <v>176</v>
      </c>
      <c r="B14" s="33"/>
      <c r="C14" s="33"/>
      <c r="D14" s="33"/>
      <c r="E14" s="33"/>
    </row>
    <row r="15" customFormat="false" ht="15" hidden="false" customHeight="false" outlineLevel="0" collapsed="false">
      <c r="A15" s="33" t="s">
        <v>177</v>
      </c>
      <c r="B15" s="33"/>
      <c r="C15" s="33"/>
      <c r="D15" s="33"/>
      <c r="E15" s="33"/>
    </row>
    <row r="16" customFormat="false" ht="15" hidden="false" customHeight="false" outlineLevel="0" collapsed="false">
      <c r="A16" s="33" t="s">
        <v>178</v>
      </c>
      <c r="B16" s="33"/>
      <c r="C16" s="33"/>
      <c r="D16" s="33"/>
      <c r="E16" s="33"/>
    </row>
    <row r="17" customFormat="false" ht="15" hidden="false" customHeight="false" outlineLevel="0" collapsed="false">
      <c r="A17" s="33" t="s">
        <v>179</v>
      </c>
      <c r="B17" s="33"/>
      <c r="C17" s="33"/>
      <c r="D17" s="33"/>
      <c r="E17" s="33"/>
    </row>
    <row r="18" customFormat="false" ht="15" hidden="false" customHeight="false" outlineLevel="0" collapsed="false">
      <c r="A18" s="33" t="s">
        <v>180</v>
      </c>
      <c r="B18" s="33"/>
      <c r="C18" s="33"/>
      <c r="D18" s="33"/>
      <c r="E18" s="33"/>
    </row>
  </sheetData>
  <mergeCells count="9">
    <mergeCell ref="A1:E1"/>
    <mergeCell ref="A2:E2"/>
    <mergeCell ref="A12:E12"/>
    <mergeCell ref="A13:E13"/>
    <mergeCell ref="A14:E14"/>
    <mergeCell ref="A15:E15"/>
    <mergeCell ref="A16:E16"/>
    <mergeCell ref="A17:E17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22.05" hidden="false" customHeight="false" outlineLevel="0" collapsed="false">
      <c r="A1" s="34" t="s">
        <v>13</v>
      </c>
      <c r="B1" s="34"/>
      <c r="C1" s="34"/>
      <c r="D1" s="34"/>
      <c r="E1" s="34"/>
      <c r="F1" s="34"/>
    </row>
    <row r="2" customFormat="false" ht="15" hidden="false" customHeight="false" outlineLevel="0" collapsed="false">
      <c r="A2" s="2" t="s">
        <v>168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181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5" t="s">
        <v>3</v>
      </c>
      <c r="B5" s="35" t="s">
        <v>5</v>
      </c>
      <c r="C5" s="36" t="s">
        <v>4</v>
      </c>
      <c r="D5" s="35" t="s">
        <v>182</v>
      </c>
      <c r="E5" s="35" t="s">
        <v>8</v>
      </c>
      <c r="F5" s="36" t="s">
        <v>10</v>
      </c>
    </row>
    <row r="6" customFormat="false" ht="15" hidden="false" customHeight="false" outlineLevel="0" collapsed="false">
      <c r="A6" s="5" t="n">
        <v>1</v>
      </c>
      <c r="B6" s="7" t="s">
        <v>12</v>
      </c>
      <c r="C6" s="6" t="s">
        <v>11</v>
      </c>
      <c r="D6" s="9" t="n">
        <v>0.145</v>
      </c>
      <c r="E6" s="10" t="n">
        <f aca="false">D6*250</f>
        <v>36.25</v>
      </c>
      <c r="F6" s="6" t="s">
        <v>15</v>
      </c>
    </row>
    <row r="7" customFormat="false" ht="15" hidden="false" customHeight="false" outlineLevel="0" collapsed="false">
      <c r="A7" s="11" t="n">
        <v>2</v>
      </c>
      <c r="B7" s="13" t="s">
        <v>17</v>
      </c>
      <c r="C7" s="12" t="s">
        <v>16</v>
      </c>
      <c r="D7" s="15" t="n">
        <v>0.11</v>
      </c>
      <c r="E7" s="16" t="n">
        <f aca="false">D7*250</f>
        <v>27.5</v>
      </c>
      <c r="F7" s="12" t="s">
        <v>19</v>
      </c>
    </row>
    <row r="8" customFormat="false" ht="15" hidden="false" customHeight="false" outlineLevel="0" collapsed="false">
      <c r="A8" s="5" t="n">
        <v>3</v>
      </c>
      <c r="B8" s="7" t="s">
        <v>21</v>
      </c>
      <c r="C8" s="6" t="s">
        <v>20</v>
      </c>
      <c r="D8" s="9" t="n">
        <v>0.08</v>
      </c>
      <c r="E8" s="10" t="n">
        <f aca="false">D8*250</f>
        <v>20</v>
      </c>
      <c r="F8" s="6" t="s">
        <v>23</v>
      </c>
    </row>
    <row r="9" customFormat="false" ht="15" hidden="false" customHeight="false" outlineLevel="0" collapsed="false">
      <c r="A9" s="11" t="n">
        <v>4</v>
      </c>
      <c r="B9" s="13" t="s">
        <v>25</v>
      </c>
      <c r="C9" s="12" t="s">
        <v>24</v>
      </c>
      <c r="D9" s="15" t="n">
        <v>0.07</v>
      </c>
      <c r="E9" s="16" t="n">
        <f aca="false">D9*250</f>
        <v>17.5</v>
      </c>
      <c r="F9" s="12" t="s">
        <v>27</v>
      </c>
    </row>
    <row r="10" customFormat="false" ht="15" hidden="false" customHeight="false" outlineLevel="0" collapsed="false">
      <c r="A10" s="5" t="n">
        <v>5</v>
      </c>
      <c r="B10" s="7" t="s">
        <v>29</v>
      </c>
      <c r="C10" s="6" t="s">
        <v>28</v>
      </c>
      <c r="D10" s="9" t="n">
        <v>0.05</v>
      </c>
      <c r="E10" s="10" t="n">
        <f aca="false">D10*250</f>
        <v>12.5</v>
      </c>
      <c r="F10" s="6" t="s">
        <v>31</v>
      </c>
    </row>
    <row r="11" customFormat="false" ht="15" hidden="false" customHeight="false" outlineLevel="0" collapsed="false">
      <c r="A11" s="11" t="n">
        <v>6</v>
      </c>
      <c r="B11" s="13" t="s">
        <v>33</v>
      </c>
      <c r="C11" s="12" t="s">
        <v>32</v>
      </c>
      <c r="D11" s="15" t="n">
        <v>0.05</v>
      </c>
      <c r="E11" s="16" t="n">
        <f aca="false">D11*250</f>
        <v>12.5</v>
      </c>
      <c r="F11" s="12" t="s">
        <v>34</v>
      </c>
    </row>
    <row r="12" customFormat="false" ht="15" hidden="false" customHeight="false" outlineLevel="0" collapsed="false">
      <c r="A12" s="5" t="n">
        <v>7</v>
      </c>
      <c r="B12" s="7" t="s">
        <v>36</v>
      </c>
      <c r="C12" s="6" t="s">
        <v>35</v>
      </c>
      <c r="D12" s="9" t="n">
        <v>0.05</v>
      </c>
      <c r="E12" s="10" t="n">
        <f aca="false">D12*250</f>
        <v>12.5</v>
      </c>
      <c r="F12" s="6" t="s">
        <v>38</v>
      </c>
    </row>
    <row r="13" customFormat="false" ht="15" hidden="false" customHeight="false" outlineLevel="0" collapsed="false">
      <c r="A13" s="11" t="n">
        <v>8</v>
      </c>
      <c r="B13" s="13" t="s">
        <v>40</v>
      </c>
      <c r="C13" s="12" t="s">
        <v>39</v>
      </c>
      <c r="D13" s="15" t="n">
        <v>0.05</v>
      </c>
      <c r="E13" s="16" t="n">
        <f aca="false">D13*250</f>
        <v>12.5</v>
      </c>
      <c r="F13" s="12" t="s">
        <v>42</v>
      </c>
    </row>
    <row r="14" customFormat="false" ht="15" hidden="false" customHeight="false" outlineLevel="0" collapsed="false">
      <c r="A14" s="5" t="n">
        <v>9</v>
      </c>
      <c r="B14" s="7" t="s">
        <v>44</v>
      </c>
      <c r="C14" s="6" t="s">
        <v>43</v>
      </c>
      <c r="D14" s="9" t="n">
        <v>0.05</v>
      </c>
      <c r="E14" s="10" t="n">
        <f aca="false">D14*250</f>
        <v>12.5</v>
      </c>
      <c r="F14" s="6" t="s">
        <v>46</v>
      </c>
    </row>
    <row r="15" customFormat="false" ht="15" hidden="false" customHeight="false" outlineLevel="0" collapsed="false">
      <c r="A15" s="11" t="n">
        <v>10</v>
      </c>
      <c r="B15" s="13" t="s">
        <v>48</v>
      </c>
      <c r="C15" s="12" t="s">
        <v>47</v>
      </c>
      <c r="D15" s="15" t="n">
        <v>0.05</v>
      </c>
      <c r="E15" s="16" t="n">
        <f aca="false">D15*250</f>
        <v>12.5</v>
      </c>
      <c r="F15" s="12" t="s">
        <v>49</v>
      </c>
    </row>
    <row r="16" customFormat="false" ht="15" hidden="false" customHeight="false" outlineLevel="0" collapsed="false">
      <c r="A16" s="5" t="n">
        <v>11</v>
      </c>
      <c r="B16" s="7" t="s">
        <v>51</v>
      </c>
      <c r="C16" s="6" t="s">
        <v>50</v>
      </c>
      <c r="D16" s="9" t="n">
        <v>0.05</v>
      </c>
      <c r="E16" s="10" t="n">
        <f aca="false">D16*250</f>
        <v>12.5</v>
      </c>
      <c r="F16" s="6" t="s">
        <v>53</v>
      </c>
    </row>
    <row r="17" customFormat="false" ht="15" hidden="false" customHeight="false" outlineLevel="0" collapsed="false">
      <c r="A17" s="11" t="n">
        <v>12</v>
      </c>
      <c r="B17" s="13" t="s">
        <v>55</v>
      </c>
      <c r="C17" s="12" t="s">
        <v>54</v>
      </c>
      <c r="D17" s="15" t="n">
        <v>0.05</v>
      </c>
      <c r="E17" s="16" t="n">
        <f aca="false">D17*250</f>
        <v>12.5</v>
      </c>
      <c r="F17" s="12" t="s">
        <v>56</v>
      </c>
    </row>
    <row r="18" customFormat="false" ht="15" hidden="false" customHeight="false" outlineLevel="0" collapsed="false">
      <c r="A18" s="5" t="n">
        <v>13</v>
      </c>
      <c r="B18" s="7" t="s">
        <v>58</v>
      </c>
      <c r="C18" s="6" t="s">
        <v>57</v>
      </c>
      <c r="D18" s="9" t="n">
        <v>0.05</v>
      </c>
      <c r="E18" s="10" t="n">
        <f aca="false">D18*250</f>
        <v>12.5</v>
      </c>
      <c r="F18" s="6" t="s">
        <v>59</v>
      </c>
    </row>
    <row r="19" customFormat="false" ht="15" hidden="false" customHeight="false" outlineLevel="0" collapsed="false">
      <c r="A19" s="11" t="n">
        <v>14</v>
      </c>
      <c r="B19" s="13" t="s">
        <v>61</v>
      </c>
      <c r="C19" s="12" t="s">
        <v>60</v>
      </c>
      <c r="D19" s="15" t="n">
        <v>0.04</v>
      </c>
      <c r="E19" s="16" t="n">
        <f aca="false">D19*250</f>
        <v>10</v>
      </c>
      <c r="F19" s="12" t="s">
        <v>63</v>
      </c>
    </row>
    <row r="20" customFormat="false" ht="15" hidden="false" customHeight="false" outlineLevel="0" collapsed="false">
      <c r="A20" s="5" t="n">
        <v>15</v>
      </c>
      <c r="B20" s="7" t="s">
        <v>65</v>
      </c>
      <c r="C20" s="6" t="s">
        <v>64</v>
      </c>
      <c r="D20" s="9" t="n">
        <v>0.04</v>
      </c>
      <c r="E20" s="10" t="n">
        <f aca="false">D20*250</f>
        <v>10</v>
      </c>
      <c r="F20" s="6" t="s">
        <v>66</v>
      </c>
    </row>
    <row r="21" customFormat="false" ht="15" hidden="false" customHeight="false" outlineLevel="0" collapsed="false">
      <c r="A21" s="11" t="n">
        <v>16</v>
      </c>
      <c r="B21" s="13" t="s">
        <v>68</v>
      </c>
      <c r="C21" s="12" t="s">
        <v>67</v>
      </c>
      <c r="D21" s="15" t="n">
        <v>0.04</v>
      </c>
      <c r="E21" s="16" t="n">
        <f aca="false">D21*250</f>
        <v>10</v>
      </c>
      <c r="F21" s="12" t="s">
        <v>70</v>
      </c>
    </row>
    <row r="22" customFormat="false" ht="15" hidden="false" customHeight="false" outlineLevel="0" collapsed="false">
      <c r="A22" s="5" t="n">
        <v>17</v>
      </c>
      <c r="B22" s="7" t="s">
        <v>72</v>
      </c>
      <c r="C22" s="6" t="s">
        <v>71</v>
      </c>
      <c r="D22" s="9" t="n">
        <v>0.025</v>
      </c>
      <c r="E22" s="10" t="n">
        <f aca="false">D22*250</f>
        <v>6.25</v>
      </c>
      <c r="F22" s="6" t="s">
        <v>73</v>
      </c>
    </row>
    <row r="23" customFormat="false" ht="15" hidden="false" customHeight="false" outlineLevel="0" collapsed="false">
      <c r="A23" s="37"/>
      <c r="B23" s="37"/>
      <c r="C23" s="38" t="s">
        <v>172</v>
      </c>
      <c r="D23" s="39" t="n">
        <f aca="false">SUM(D6:D22)</f>
        <v>1</v>
      </c>
      <c r="E23" s="40" t="n">
        <f aca="false">SUM(E6:E22)</f>
        <v>250</v>
      </c>
      <c r="F23" s="41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22.05" hidden="false" customHeight="false" outlineLevel="0" collapsed="false">
      <c r="A1" s="42" t="s">
        <v>76</v>
      </c>
      <c r="B1" s="42"/>
      <c r="C1" s="42"/>
      <c r="D1" s="42"/>
      <c r="E1" s="42"/>
      <c r="F1" s="42"/>
    </row>
    <row r="2" customFormat="false" ht="15" hidden="false" customHeight="false" outlineLevel="0" collapsed="false">
      <c r="A2" s="2" t="s">
        <v>169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183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43" t="s">
        <v>3</v>
      </c>
      <c r="B5" s="43" t="s">
        <v>5</v>
      </c>
      <c r="C5" s="44" t="s">
        <v>4</v>
      </c>
      <c r="D5" s="43" t="s">
        <v>182</v>
      </c>
      <c r="E5" s="43" t="s">
        <v>8</v>
      </c>
      <c r="F5" s="44" t="s">
        <v>10</v>
      </c>
    </row>
    <row r="6" customFormat="false" ht="15" hidden="false" customHeight="false" outlineLevel="0" collapsed="false">
      <c r="A6" s="5" t="n">
        <v>1</v>
      </c>
      <c r="B6" s="7" t="s">
        <v>75</v>
      </c>
      <c r="C6" s="6" t="s">
        <v>74</v>
      </c>
      <c r="D6" s="9" t="n">
        <v>0.2</v>
      </c>
      <c r="E6" s="10" t="n">
        <f aca="false">D6*125</f>
        <v>25</v>
      </c>
      <c r="F6" s="6" t="s">
        <v>78</v>
      </c>
    </row>
    <row r="7" customFormat="false" ht="15" hidden="false" customHeight="false" outlineLevel="0" collapsed="false">
      <c r="A7" s="11" t="n">
        <v>2</v>
      </c>
      <c r="B7" s="13" t="s">
        <v>80</v>
      </c>
      <c r="C7" s="12" t="s">
        <v>79</v>
      </c>
      <c r="D7" s="15" t="n">
        <v>0.15</v>
      </c>
      <c r="E7" s="16" t="n">
        <f aca="false">D7*125</f>
        <v>18.75</v>
      </c>
      <c r="F7" s="12" t="s">
        <v>82</v>
      </c>
    </row>
    <row r="8" customFormat="false" ht="15" hidden="false" customHeight="false" outlineLevel="0" collapsed="false">
      <c r="A8" s="5" t="n">
        <v>3</v>
      </c>
      <c r="B8" s="7" t="s">
        <v>84</v>
      </c>
      <c r="C8" s="6" t="s">
        <v>83</v>
      </c>
      <c r="D8" s="9" t="n">
        <v>0.15</v>
      </c>
      <c r="E8" s="10" t="n">
        <f aca="false">D8*125</f>
        <v>18.75</v>
      </c>
      <c r="F8" s="6" t="s">
        <v>86</v>
      </c>
    </row>
    <row r="9" customFormat="false" ht="15" hidden="false" customHeight="false" outlineLevel="0" collapsed="false">
      <c r="A9" s="11" t="n">
        <v>4</v>
      </c>
      <c r="B9" s="13" t="s">
        <v>88</v>
      </c>
      <c r="C9" s="12" t="s">
        <v>87</v>
      </c>
      <c r="D9" s="15" t="n">
        <v>0.13</v>
      </c>
      <c r="E9" s="16" t="n">
        <f aca="false">D9*125</f>
        <v>16.25</v>
      </c>
      <c r="F9" s="12" t="s">
        <v>90</v>
      </c>
    </row>
    <row r="10" customFormat="false" ht="15" hidden="false" customHeight="false" outlineLevel="0" collapsed="false">
      <c r="A10" s="5" t="n">
        <v>5</v>
      </c>
      <c r="B10" s="7" t="s">
        <v>92</v>
      </c>
      <c r="C10" s="6" t="s">
        <v>91</v>
      </c>
      <c r="D10" s="9" t="n">
        <v>0.1</v>
      </c>
      <c r="E10" s="10" t="n">
        <f aca="false">D10*125</f>
        <v>12.5</v>
      </c>
      <c r="F10" s="6" t="s">
        <v>93</v>
      </c>
    </row>
    <row r="11" customFormat="false" ht="15" hidden="false" customHeight="false" outlineLevel="0" collapsed="false">
      <c r="A11" s="11" t="n">
        <v>6</v>
      </c>
      <c r="B11" s="13" t="s">
        <v>95</v>
      </c>
      <c r="C11" s="12" t="s">
        <v>94</v>
      </c>
      <c r="D11" s="15" t="n">
        <v>0.1</v>
      </c>
      <c r="E11" s="16" t="n">
        <f aca="false">D11*125</f>
        <v>12.5</v>
      </c>
      <c r="F11" s="12" t="s">
        <v>97</v>
      </c>
    </row>
    <row r="12" customFormat="false" ht="15" hidden="false" customHeight="false" outlineLevel="0" collapsed="false">
      <c r="A12" s="5" t="n">
        <v>7</v>
      </c>
      <c r="B12" s="7" t="s">
        <v>99</v>
      </c>
      <c r="C12" s="6" t="s">
        <v>98</v>
      </c>
      <c r="D12" s="9" t="n">
        <v>0.1</v>
      </c>
      <c r="E12" s="10" t="n">
        <f aca="false">D12*125</f>
        <v>12.5</v>
      </c>
      <c r="F12" s="6" t="s">
        <v>100</v>
      </c>
    </row>
    <row r="13" customFormat="false" ht="15" hidden="false" customHeight="false" outlineLevel="0" collapsed="false">
      <c r="A13" s="11" t="n">
        <v>8</v>
      </c>
      <c r="B13" s="13" t="s">
        <v>102</v>
      </c>
      <c r="C13" s="12" t="s">
        <v>101</v>
      </c>
      <c r="D13" s="15" t="n">
        <v>0.07</v>
      </c>
      <c r="E13" s="16" t="n">
        <f aca="false">D13*125</f>
        <v>8.75</v>
      </c>
      <c r="F13" s="12" t="s">
        <v>104</v>
      </c>
    </row>
    <row r="14" customFormat="false" ht="15" hidden="false" customHeight="false" outlineLevel="0" collapsed="false">
      <c r="A14" s="37"/>
      <c r="B14" s="37"/>
      <c r="C14" s="38" t="s">
        <v>172</v>
      </c>
      <c r="D14" s="39" t="n">
        <f aca="false">SUM(D6:D13)</f>
        <v>1</v>
      </c>
      <c r="E14" s="40" t="n">
        <f aca="false">SUM(E6:E13)</f>
        <v>125</v>
      </c>
      <c r="F14" s="41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22.05" hidden="false" customHeight="false" outlineLevel="0" collapsed="false">
      <c r="A1" s="45" t="s">
        <v>107</v>
      </c>
      <c r="B1" s="45"/>
      <c r="C1" s="45"/>
      <c r="D1" s="45"/>
      <c r="E1" s="45"/>
      <c r="F1" s="45"/>
    </row>
    <row r="2" customFormat="false" ht="15" hidden="false" customHeight="false" outlineLevel="0" collapsed="false">
      <c r="A2" s="2" t="s">
        <v>170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184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46" t="s">
        <v>3</v>
      </c>
      <c r="B5" s="46" t="s">
        <v>5</v>
      </c>
      <c r="C5" s="47" t="s">
        <v>4</v>
      </c>
      <c r="D5" s="46" t="s">
        <v>182</v>
      </c>
      <c r="E5" s="46" t="s">
        <v>8</v>
      </c>
      <c r="F5" s="47" t="s">
        <v>10</v>
      </c>
    </row>
    <row r="6" customFormat="false" ht="15" hidden="false" customHeight="false" outlineLevel="0" collapsed="false">
      <c r="A6" s="5" t="n">
        <v>1</v>
      </c>
      <c r="B6" s="7" t="s">
        <v>106</v>
      </c>
      <c r="C6" s="6" t="s">
        <v>105</v>
      </c>
      <c r="D6" s="9" t="n">
        <v>0.25</v>
      </c>
      <c r="E6" s="10" t="n">
        <f aca="false">D6*125</f>
        <v>31.25</v>
      </c>
      <c r="F6" s="6" t="s">
        <v>109</v>
      </c>
    </row>
    <row r="7" customFormat="false" ht="15" hidden="false" customHeight="false" outlineLevel="0" collapsed="false">
      <c r="A7" s="11" t="n">
        <v>2</v>
      </c>
      <c r="B7" s="13" t="s">
        <v>111</v>
      </c>
      <c r="C7" s="12" t="s">
        <v>110</v>
      </c>
      <c r="D7" s="15" t="n">
        <v>0.25</v>
      </c>
      <c r="E7" s="16" t="n">
        <f aca="false">D7*125</f>
        <v>31.25</v>
      </c>
      <c r="F7" s="12" t="s">
        <v>113</v>
      </c>
    </row>
    <row r="8" customFormat="false" ht="15" hidden="false" customHeight="false" outlineLevel="0" collapsed="false">
      <c r="A8" s="5" t="n">
        <v>3</v>
      </c>
      <c r="B8" s="7" t="s">
        <v>115</v>
      </c>
      <c r="C8" s="6" t="s">
        <v>114</v>
      </c>
      <c r="D8" s="9" t="n">
        <v>0.2</v>
      </c>
      <c r="E8" s="10" t="n">
        <f aca="false">D8*125</f>
        <v>25</v>
      </c>
      <c r="F8" s="6" t="s">
        <v>117</v>
      </c>
    </row>
    <row r="9" customFormat="false" ht="15" hidden="false" customHeight="false" outlineLevel="0" collapsed="false">
      <c r="A9" s="11" t="n">
        <v>4</v>
      </c>
      <c r="B9" s="13" t="s">
        <v>119</v>
      </c>
      <c r="C9" s="12" t="s">
        <v>118</v>
      </c>
      <c r="D9" s="15" t="n">
        <v>0.1</v>
      </c>
      <c r="E9" s="16" t="n">
        <f aca="false">D9*125</f>
        <v>12.5</v>
      </c>
      <c r="F9" s="12" t="s">
        <v>120</v>
      </c>
    </row>
    <row r="10" customFormat="false" ht="15" hidden="false" customHeight="false" outlineLevel="0" collapsed="false">
      <c r="A10" s="5" t="n">
        <v>5</v>
      </c>
      <c r="B10" s="7" t="s">
        <v>122</v>
      </c>
      <c r="C10" s="6" t="s">
        <v>121</v>
      </c>
      <c r="D10" s="9" t="n">
        <v>0.1</v>
      </c>
      <c r="E10" s="10" t="n">
        <f aca="false">D10*125</f>
        <v>12.5</v>
      </c>
      <c r="F10" s="6" t="s">
        <v>124</v>
      </c>
    </row>
    <row r="11" customFormat="false" ht="15" hidden="false" customHeight="false" outlineLevel="0" collapsed="false">
      <c r="A11" s="11" t="n">
        <v>6</v>
      </c>
      <c r="B11" s="13" t="s">
        <v>126</v>
      </c>
      <c r="C11" s="12" t="s">
        <v>125</v>
      </c>
      <c r="D11" s="15" t="n">
        <v>0.1</v>
      </c>
      <c r="E11" s="16" t="n">
        <f aca="false">D11*125</f>
        <v>12.5</v>
      </c>
      <c r="F11" s="12" t="s">
        <v>128</v>
      </c>
    </row>
    <row r="12" customFormat="false" ht="15" hidden="false" customHeight="false" outlineLevel="0" collapsed="false">
      <c r="A12" s="37"/>
      <c r="B12" s="37"/>
      <c r="C12" s="38" t="s">
        <v>172</v>
      </c>
      <c r="D12" s="39" t="n">
        <f aca="false">SUM(D6:D11)</f>
        <v>1</v>
      </c>
      <c r="E12" s="40" t="n">
        <f aca="false">SUM(E6:E11)</f>
        <v>125</v>
      </c>
      <c r="F12" s="41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22.05" hidden="false" customHeight="false" outlineLevel="0" collapsed="false">
      <c r="A1" s="48" t="s">
        <v>131</v>
      </c>
      <c r="B1" s="48"/>
      <c r="C1" s="48"/>
      <c r="D1" s="48"/>
      <c r="E1" s="48"/>
      <c r="F1" s="48"/>
    </row>
    <row r="2" customFormat="false" ht="15" hidden="false" customHeight="false" outlineLevel="0" collapsed="false">
      <c r="A2" s="2" t="s">
        <v>171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185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49" t="s">
        <v>3</v>
      </c>
      <c r="B5" s="49" t="s">
        <v>5</v>
      </c>
      <c r="C5" s="50" t="s">
        <v>4</v>
      </c>
      <c r="D5" s="49" t="s">
        <v>182</v>
      </c>
      <c r="E5" s="49" t="s">
        <v>8</v>
      </c>
      <c r="F5" s="50" t="s">
        <v>10</v>
      </c>
    </row>
    <row r="6" customFormat="false" ht="15" hidden="false" customHeight="false" outlineLevel="0" collapsed="false">
      <c r="A6" s="5" t="n">
        <v>1</v>
      </c>
      <c r="B6" s="7" t="s">
        <v>130</v>
      </c>
      <c r="C6" s="6" t="s">
        <v>129</v>
      </c>
      <c r="D6" s="9" t="n">
        <v>0.15</v>
      </c>
      <c r="E6" s="10" t="n">
        <f aca="false">D6*125</f>
        <v>18.75</v>
      </c>
      <c r="F6" s="6" t="s">
        <v>133</v>
      </c>
    </row>
    <row r="7" customFormat="false" ht="15" hidden="false" customHeight="false" outlineLevel="0" collapsed="false">
      <c r="A7" s="11" t="n">
        <v>2</v>
      </c>
      <c r="B7" s="13" t="s">
        <v>135</v>
      </c>
      <c r="C7" s="12" t="s">
        <v>134</v>
      </c>
      <c r="D7" s="15" t="n">
        <v>0.15</v>
      </c>
      <c r="E7" s="16" t="n">
        <f aca="false">D7*125</f>
        <v>18.75</v>
      </c>
      <c r="F7" s="12" t="s">
        <v>136</v>
      </c>
    </row>
    <row r="8" customFormat="false" ht="15" hidden="false" customHeight="false" outlineLevel="0" collapsed="false">
      <c r="A8" s="5" t="n">
        <v>3</v>
      </c>
      <c r="B8" s="7" t="s">
        <v>138</v>
      </c>
      <c r="C8" s="6" t="s">
        <v>137</v>
      </c>
      <c r="D8" s="9" t="n">
        <v>0.12</v>
      </c>
      <c r="E8" s="10" t="n">
        <f aca="false">D8*125</f>
        <v>15</v>
      </c>
      <c r="F8" s="6" t="s">
        <v>139</v>
      </c>
    </row>
    <row r="9" customFormat="false" ht="15" hidden="false" customHeight="false" outlineLevel="0" collapsed="false">
      <c r="A9" s="11" t="n">
        <v>4</v>
      </c>
      <c r="B9" s="13" t="s">
        <v>141</v>
      </c>
      <c r="C9" s="12" t="s">
        <v>140</v>
      </c>
      <c r="D9" s="15" t="n">
        <v>0.11</v>
      </c>
      <c r="E9" s="16" t="n">
        <f aca="false">D9*125</f>
        <v>13.75</v>
      </c>
      <c r="F9" s="12" t="s">
        <v>143</v>
      </c>
    </row>
    <row r="10" customFormat="false" ht="15" hidden="false" customHeight="false" outlineLevel="0" collapsed="false">
      <c r="A10" s="5" t="n">
        <v>5</v>
      </c>
      <c r="B10" s="7" t="s">
        <v>145</v>
      </c>
      <c r="C10" s="6" t="s">
        <v>144</v>
      </c>
      <c r="D10" s="9" t="n">
        <v>0.1</v>
      </c>
      <c r="E10" s="10" t="n">
        <f aca="false">D10*125</f>
        <v>12.5</v>
      </c>
      <c r="F10" s="6" t="s">
        <v>147</v>
      </c>
    </row>
    <row r="11" customFormat="false" ht="15" hidden="false" customHeight="false" outlineLevel="0" collapsed="false">
      <c r="A11" s="11" t="n">
        <v>6</v>
      </c>
      <c r="B11" s="13" t="s">
        <v>149</v>
      </c>
      <c r="C11" s="12" t="s">
        <v>148</v>
      </c>
      <c r="D11" s="15" t="n">
        <v>0.1</v>
      </c>
      <c r="E11" s="16" t="n">
        <f aca="false">D11*125</f>
        <v>12.5</v>
      </c>
      <c r="F11" s="12" t="s">
        <v>151</v>
      </c>
    </row>
    <row r="12" customFormat="false" ht="15" hidden="false" customHeight="false" outlineLevel="0" collapsed="false">
      <c r="A12" s="5" t="n">
        <v>7</v>
      </c>
      <c r="B12" s="7" t="s">
        <v>153</v>
      </c>
      <c r="C12" s="6" t="s">
        <v>152</v>
      </c>
      <c r="D12" s="9" t="n">
        <v>0.1</v>
      </c>
      <c r="E12" s="10" t="n">
        <f aca="false">D12*125</f>
        <v>12.5</v>
      </c>
      <c r="F12" s="6" t="s">
        <v>154</v>
      </c>
    </row>
    <row r="13" customFormat="false" ht="15" hidden="false" customHeight="false" outlineLevel="0" collapsed="false">
      <c r="A13" s="11" t="n">
        <v>8</v>
      </c>
      <c r="B13" s="13" t="s">
        <v>156</v>
      </c>
      <c r="C13" s="12" t="s">
        <v>155</v>
      </c>
      <c r="D13" s="15" t="n">
        <v>0.1</v>
      </c>
      <c r="E13" s="16" t="n">
        <f aca="false">D13*125</f>
        <v>12.5</v>
      </c>
      <c r="F13" s="12" t="s">
        <v>158</v>
      </c>
    </row>
    <row r="14" customFormat="false" ht="15" hidden="false" customHeight="false" outlineLevel="0" collapsed="false">
      <c r="A14" s="5" t="n">
        <v>9</v>
      </c>
      <c r="B14" s="7" t="s">
        <v>160</v>
      </c>
      <c r="C14" s="6" t="s">
        <v>159</v>
      </c>
      <c r="D14" s="9" t="n">
        <v>0.07</v>
      </c>
      <c r="E14" s="10" t="n">
        <f aca="false">D14*125</f>
        <v>8.75</v>
      </c>
      <c r="F14" s="6" t="s">
        <v>162</v>
      </c>
    </row>
    <row r="15" customFormat="false" ht="15" hidden="false" customHeight="false" outlineLevel="0" collapsed="false">
      <c r="A15" s="37"/>
      <c r="B15" s="37"/>
      <c r="C15" s="38" t="s">
        <v>172</v>
      </c>
      <c r="D15" s="39" t="n">
        <f aca="false">SUM(D6:D14)</f>
        <v>1</v>
      </c>
      <c r="E15" s="40" t="n">
        <f aca="false">SUM(E6:E14)</f>
        <v>125</v>
      </c>
      <c r="F15" s="41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2026-04-26T21:52:43Z</dcterms:created>
  <dc:creator>openpyxl</dc:creator>
  <dc:description/>
  <dc:language>en-US</dc:language>
  <cp:lastModifiedBy/>
  <dcterms:modified xsi:type="dcterms:W3CDTF">2026-04-26T21:52:43Z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