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Supplier Signals" sheetId="3" state="visible" r:id="rId3"/>
    <sheet xmlns:r="http://schemas.openxmlformats.org/officeDocument/2006/relationships" name="Conversion Clock" sheetId="4" state="visible" r:id="rId4"/>
    <sheet xmlns:r="http://schemas.openxmlformats.org/officeDocument/2006/relationships" name="Event Study" sheetId="5" state="visible" r:id="rId5"/>
    <sheet xmlns:r="http://schemas.openxmlformats.org/officeDocument/2006/relationships" name="Case Studies" sheetId="6" state="visible" r:id="rId6"/>
    <sheet xmlns:r="http://schemas.openxmlformats.org/officeDocument/2006/relationships" name="Sources &amp; Method" sheetId="7" state="visible" r:id="rId7"/>
  </sheets>
  <definedNames>
    <definedName name="_xlnm._FilterDatabase" localSheetId="2" hidden="1">'Supplier Signals'!$A$1:$X$24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$#,##0.00;[Red]($#,##0.00);-"/>
    <numFmt numFmtId="166" formatCode="0.0%;[Red](0.0%);-"/>
    <numFmt numFmtId="167" formatCode="m/d/yy"/>
    <numFmt numFmtId="168" formatCode="0.0"/>
  </numFmts>
  <fonts count="45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color rgb="00008000"/>
      <sz val="8"/>
    </font>
    <font>
      <b val="1"/>
      <color rgb="007030A0"/>
    </font>
    <font>
      <color rgb="007030A0"/>
    </font>
    <font>
      <color rgb="000000FF"/>
    </font>
    <font>
      <i val="1"/>
      <color rgb="00666666"/>
    </font>
    <font>
      <b val="1"/>
      <color rgb="00FFFFFF"/>
      <sz val="16"/>
    </font>
    <font>
      <color rgb="00666666"/>
    </font>
    <font>
      <b val="1"/>
      <color rgb="00FFFFFF"/>
      <sz val="11"/>
    </font>
    <font>
      <b val="1"/>
      <sz val="8"/>
    </font>
    <font>
      <b val="1"/>
    </font>
    <font>
      <color rgb="0017365D"/>
    </font>
    <font>
      <b val="1"/>
      <color rgb="00FFFFFF"/>
      <sz val="15"/>
    </font>
    <font>
      <b val="1"/>
      <color rgb="00F4B183"/>
    </font>
    <font>
      <b val="1"/>
      <color rgb="000F6B78"/>
    </font>
    <font>
      <b val="1"/>
      <color rgb="00666666"/>
    </font>
    <font>
      <b val="1"/>
      <color rgb="00FFFFFF"/>
      <sz val="18"/>
    </font>
    <font>
      <i val="1"/>
      <color rgb="00666666"/>
      <sz val="10"/>
    </font>
    <font>
      <b val="1"/>
      <color rgb="00000000"/>
    </font>
    <font>
      <b val="1"/>
      <color rgb="0017365D"/>
    </font>
    <font>
      <name val="Aptos"/>
      <b val="1"/>
      <color rgb="00FFFFFF"/>
      <sz val="18"/>
    </font>
    <font>
      <name val="Aptos"/>
      <i val="1"/>
      <color rgb="00666666"/>
      <sz val="10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0F6B78"/>
      <sz val="10"/>
    </font>
    <font>
      <name val="Aptos"/>
      <b val="1"/>
      <color rgb="00000000"/>
      <sz val="10"/>
    </font>
    <font>
      <name val="Aptos"/>
      <b val="1"/>
      <color rgb="0017365D"/>
      <sz val="10"/>
    </font>
    <font>
      <name val="Aptos"/>
      <b val="1"/>
      <color rgb="00F4B183"/>
      <sz val="10"/>
    </font>
    <font>
      <name val="Aptos"/>
      <color rgb="00008000"/>
      <sz val="10"/>
    </font>
    <font>
      <name val="Aptos"/>
      <color rgb="00000000"/>
      <sz val="10"/>
    </font>
    <font>
      <name val="Aptos"/>
      <color rgb="00008000"/>
      <sz val="8"/>
    </font>
    <font>
      <name val="Aptos"/>
      <b val="1"/>
      <color rgb="007030A0"/>
      <sz val="10"/>
    </font>
    <font>
      <name val="Aptos"/>
      <color rgb="007030A0"/>
      <sz val="10"/>
    </font>
    <font>
      <name val="Aptos"/>
      <color rgb="000000FF"/>
      <sz val="10"/>
    </font>
    <font>
      <name val="Aptos"/>
      <b val="1"/>
      <color rgb="00FFFFFF"/>
      <sz val="16"/>
    </font>
    <font>
      <name val="Aptos"/>
      <color rgb="00666666"/>
      <sz val="10"/>
    </font>
    <font>
      <name val="Aptos"/>
      <b val="1"/>
      <sz val="8"/>
    </font>
    <font>
      <name val="Aptos"/>
      <b val="1"/>
      <sz val="10"/>
    </font>
    <font>
      <name val="Aptos"/>
      <color rgb="0017365D"/>
      <sz val="10"/>
    </font>
    <font>
      <name val="Aptos"/>
      <b val="1"/>
      <color rgb="00FFFFFF"/>
      <sz val="15"/>
    </font>
    <font>
      <name val="Aptos"/>
      <b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D9EAD3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0F6B78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3" fillId="2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top"/>
    </xf>
    <xf numFmtId="0" fontId="25" fillId="2" borderId="0" applyAlignment="1" pivotButton="0" quotePrefix="0" xfId="0">
      <alignment horizontal="left" vertical="top"/>
    </xf>
    <xf numFmtId="0" fontId="26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top"/>
    </xf>
    <xf numFmtId="166" fontId="27" fillId="0" borderId="0" applyAlignment="1" pivotButton="0" quotePrefix="0" xfId="0">
      <alignment vertical="top"/>
    </xf>
    <xf numFmtId="168" fontId="27" fillId="0" borderId="0" applyAlignment="1" pivotButton="0" quotePrefix="0" xfId="0">
      <alignment vertical="top"/>
    </xf>
    <xf numFmtId="0" fontId="28" fillId="6" borderId="0" applyAlignment="1" pivotButton="0" quotePrefix="0" xfId="0">
      <alignment vertical="top"/>
    </xf>
    <xf numFmtId="0" fontId="29" fillId="6" borderId="0" applyAlignment="1" pivotButton="0" quotePrefix="0" xfId="0">
      <alignment vertical="top"/>
    </xf>
    <xf numFmtId="166" fontId="29" fillId="6" borderId="0" applyAlignment="1" pivotButton="0" quotePrefix="0" xfId="0">
      <alignment vertical="top"/>
    </xf>
    <xf numFmtId="168" fontId="29" fillId="6" borderId="0" applyAlignment="1" pivotButton="0" quotePrefix="0" xfId="0">
      <alignment vertical="top"/>
    </xf>
    <xf numFmtId="0" fontId="26" fillId="11" borderId="0" applyAlignment="1" pivotButton="0" quotePrefix="0" xfId="0">
      <alignment horizontal="center" vertical="top"/>
    </xf>
    <xf numFmtId="0" fontId="30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/>
    </xf>
    <xf numFmtId="0" fontId="31" fillId="0" borderId="0" applyAlignment="1" pivotButton="0" quotePrefix="0" xfId="0">
      <alignment vertical="top"/>
    </xf>
    <xf numFmtId="17" fontId="32" fillId="0" borderId="0" applyAlignment="1" pivotButton="0" quotePrefix="0" xfId="0">
      <alignment vertical="top"/>
    </xf>
    <xf numFmtId="165" fontId="32" fillId="0" borderId="0" applyAlignment="1" pivotButton="0" quotePrefix="0" xfId="0">
      <alignment vertical="top"/>
    </xf>
    <xf numFmtId="0" fontId="33" fillId="0" borderId="0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166" fontId="33" fillId="0" borderId="0" applyAlignment="1" pivotButton="0" quotePrefix="0" xfId="0">
      <alignment vertical="top"/>
    </xf>
    <xf numFmtId="167" fontId="32" fillId="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17" fontId="27" fillId="0" borderId="0" applyAlignment="1" pivotButton="0" quotePrefix="0" xfId="0">
      <alignment vertical="top" wrapText="1"/>
    </xf>
    <xf numFmtId="165" fontId="27" fillId="0" borderId="0" applyAlignment="1" pivotButton="0" quotePrefix="0" xfId="0">
      <alignment vertical="top" wrapText="1"/>
    </xf>
    <xf numFmtId="166" fontId="27" fillId="0" borderId="0" applyAlignment="1" pivotButton="0" quotePrefix="0" xfId="0">
      <alignment vertical="top" wrapText="1"/>
    </xf>
    <xf numFmtId="1" fontId="27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38" fillId="2" borderId="0" applyAlignment="1" pivotButton="0" quotePrefix="0" xfId="0">
      <alignment horizontal="left" vertical="top"/>
    </xf>
    <xf numFmtId="0" fontId="39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 wrapText="1"/>
    </xf>
    <xf numFmtId="0" fontId="40" fillId="3" borderId="2" applyAlignment="1" pivotButton="0" quotePrefix="0" xfId="0">
      <alignment vertical="top"/>
    </xf>
    <xf numFmtId="0" fontId="40" fillId="3" borderId="2" applyAlignment="1" pivotButton="0" quotePrefix="0" xfId="0">
      <alignment horizontal="center" vertical="top"/>
    </xf>
    <xf numFmtId="0" fontId="41" fillId="0" borderId="0" applyAlignment="1" pivotButton="0" quotePrefix="0" xfId="0">
      <alignment vertical="top"/>
    </xf>
    <xf numFmtId="0" fontId="42" fillId="4" borderId="0" applyAlignment="1" pivotButton="0" quotePrefix="0" xfId="0">
      <alignment horizontal="center" vertical="top"/>
    </xf>
    <xf numFmtId="0" fontId="42" fillId="5" borderId="0" applyAlignment="1" pivotButton="0" quotePrefix="0" xfId="0">
      <alignment horizontal="center" vertical="top"/>
    </xf>
    <xf numFmtId="0" fontId="42" fillId="6" borderId="0" applyAlignment="1" pivotButton="0" quotePrefix="0" xfId="0">
      <alignment horizontal="center" vertical="top"/>
    </xf>
    <xf numFmtId="0" fontId="42" fillId="7" borderId="0" applyAlignment="1" pivotButton="0" quotePrefix="0" xfId="0">
      <alignment horizontal="center" vertical="top"/>
    </xf>
    <xf numFmtId="0" fontId="42" fillId="8" borderId="0" applyAlignment="1" pivotButton="0" quotePrefix="0" xfId="0">
      <alignment horizontal="center" vertical="top"/>
    </xf>
    <xf numFmtId="0" fontId="42" fillId="9" borderId="0" applyAlignment="1" pivotButton="0" quotePrefix="0" xfId="0">
      <alignment horizontal="center" vertical="top"/>
    </xf>
    <xf numFmtId="0" fontId="42" fillId="10" borderId="0" applyAlignment="1" pivotButton="0" quotePrefix="0" xfId="0">
      <alignment horizontal="center" vertical="top"/>
    </xf>
    <xf numFmtId="0" fontId="43" fillId="2" borderId="0" applyAlignment="1" pivotButton="0" quotePrefix="0" xfId="0">
      <alignment vertical="top"/>
    </xf>
    <xf numFmtId="0" fontId="39" fillId="0" borderId="0" applyAlignment="1" pivotButton="0" quotePrefix="0" xfId="0">
      <alignment vertical="top"/>
    </xf>
    <xf numFmtId="166" fontId="33" fillId="0" borderId="0" applyAlignment="1" pivotButton="0" quotePrefix="0" xfId="0">
      <alignment vertical="top" wrapText="1"/>
    </xf>
    <xf numFmtId="17" fontId="33" fillId="0" borderId="0" applyAlignment="1" pivotButton="0" quotePrefix="0" xfId="0">
      <alignment vertical="top" wrapText="1"/>
    </xf>
    <xf numFmtId="1" fontId="33" fillId="0" borderId="0" applyAlignment="1" pivotButton="0" quotePrefix="0" xfId="0">
      <alignment vertical="top" wrapText="1"/>
    </xf>
    <xf numFmtId="0" fontId="44" fillId="0" borderId="0" applyAlignment="1" pivotButton="0" quotePrefix="0" xfId="0">
      <alignment vertical="top" wrapText="1"/>
    </xf>
    <xf numFmtId="0" fontId="28" fillId="0" borderId="0" applyAlignment="1" pivotButton="0" quotePrefix="0" xfId="0">
      <alignment vertical="top" wrapText="1"/>
    </xf>
    <xf numFmtId="0" fontId="4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SOXX monthly close with physical-signal period</a:t>
            </a:r>
          </a:p>
        </rich>
      </tx>
    </title>
    <plotArea>
      <lineChart>
        <grouping val="standard"/>
        <ser>
          <idx val="0"/>
          <order val="0"/>
          <tx>
            <strRef>
              <f>'Market Data'!B1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 Data'!$A$2:$A$46</f>
            </numRef>
          </cat>
          <val>
            <numRef>
              <f>'Market Data'!$B$2:$B$46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SOXX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SOXX forward return after upstream physical signals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'Dashboard'!$C$6:$C$8</f>
            </numRef>
          </val>
        </ser>
        <ser>
          <idx val="1"/>
          <order val="1"/>
          <tx>
            <strRef>
              <f>'Dashboard'!E5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'Dashboard'!$E$6:$E$8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SOXX monthly close: https://www.statmuse.com/money/ask?q=soxx+returns+2011-2024</t>
      </text>
    </comment>
    <comment ref="B3" authorId="0" shapeId="0">
      <text>
        <t>SOXX monthly close: https://www.statmuse.com/money/ask?q=soxx+returns+2011-2024</t>
      </text>
    </comment>
    <comment ref="B4" authorId="0" shapeId="0">
      <text>
        <t>SOXX monthly close: https://www.statmuse.com/money/ask?q=soxx+returns+2011-2024</t>
      </text>
    </comment>
    <comment ref="B5" authorId="0" shapeId="0">
      <text>
        <t>SOXX monthly close: https://www.statmuse.com/money/ask?q=soxx+returns+2011-2024</t>
      </text>
    </comment>
    <comment ref="B6" authorId="0" shapeId="0">
      <text>
        <t>SOXX monthly close: https://www.statmuse.com/money/ask?q=soxx+returns+2011-2024</t>
      </text>
    </comment>
    <comment ref="B7" authorId="0" shapeId="0">
      <text>
        <t>SOXX monthly close: https://www.statmuse.com/money/ask?q=soxx+returns+2011-2024</t>
      </text>
    </comment>
    <comment ref="B8" authorId="0" shapeId="0">
      <text>
        <t>SOXX monthly close: https://www.statmuse.com/money/ask?q=soxx+returns+2011-2024</t>
      </text>
    </comment>
    <comment ref="B9" authorId="0" shapeId="0">
      <text>
        <t>SOXX monthly close: https://www.statmuse.com/money/ask?q=soxx+returns+2011-2024</t>
      </text>
    </comment>
    <comment ref="B10" authorId="0" shapeId="0">
      <text>
        <t>SOXX monthly close: https://www.statmuse.com/money/ask?q=soxx+returns+2011-2024</t>
      </text>
    </comment>
    <comment ref="B11" authorId="0" shapeId="0">
      <text>
        <t>SOXX monthly close: https://www.statmuse.com/money/ask?q=soxx+returns+2011-2024</t>
      </text>
    </comment>
    <comment ref="B12" authorId="0" shapeId="0">
      <text>
        <t>SOXX monthly close: https://www.statmuse.com/money/ask?q=soxx+returns+2011-2024</t>
      </text>
    </comment>
    <comment ref="B13" authorId="0" shapeId="0">
      <text>
        <t>SOXX monthly close: https://www.statmuse.com/money/ask?q=soxx+returns+2011-2024</t>
      </text>
    </comment>
    <comment ref="B14" authorId="0" shapeId="0">
      <text>
        <t>SOXX monthly close: https://www.statmuse.com/money/ask?q=soxx+returns+2011-2024</t>
      </text>
    </comment>
    <comment ref="B15" authorId="0" shapeId="0">
      <text>
        <t>SOXX monthly close: https://www.statmuse.com/money/ask?q=soxx+returns+2011-2024</t>
      </text>
    </comment>
    <comment ref="B16" authorId="0" shapeId="0">
      <text>
        <t>SOXX monthly close: https://www.statmuse.com/money/ask?q=soxx+returns+2011-2024</t>
      </text>
    </comment>
    <comment ref="B17" authorId="0" shapeId="0">
      <text>
        <t>SOXX monthly close: https://www.statmuse.com/money/ask?q=soxx+returns+2011-2024</t>
      </text>
    </comment>
    <comment ref="B18" authorId="0" shapeId="0">
      <text>
        <t>SOXX monthly close: https://www.statmuse.com/money/ask?q=soxx+returns+2011-2024</t>
      </text>
    </comment>
    <comment ref="B19" authorId="0" shapeId="0">
      <text>
        <t>SOXX monthly close: https://www.statmuse.com/money/ask?q=soxx+returns+2011-2024</t>
      </text>
    </comment>
    <comment ref="B20" authorId="0" shapeId="0">
      <text>
        <t>SOXX monthly close: https://www.statmuse.com/money/ask?q=soxx+returns+2011-2024</t>
      </text>
    </comment>
    <comment ref="B21" authorId="0" shapeId="0">
      <text>
        <t>SOXX monthly close: https://www.statmuse.com/money/ask?q=soxx+returns+2011-2024</t>
      </text>
    </comment>
    <comment ref="B22" authorId="0" shapeId="0">
      <text>
        <t>SOXX monthly close: https://www.statmuse.com/money/ask?q=soxx+returns+2011-2024</t>
      </text>
    </comment>
    <comment ref="B23" authorId="0" shapeId="0">
      <text>
        <t>SOXX monthly close: https://www.statmuse.com/money/ask?q=soxx+returns+2011-2024</t>
      </text>
    </comment>
    <comment ref="B24" authorId="0" shapeId="0">
      <text>
        <t>SOXX monthly close: https://www.statmuse.com/money/ask?q=soxx+returns+2011-2024</t>
      </text>
    </comment>
    <comment ref="B25" authorId="0" shapeId="0">
      <text>
        <t>SOXX monthly close: https://www.statmuse.com/money/ask?q=soxx+returns+2011-2024</t>
      </text>
    </comment>
    <comment ref="B26" authorId="0" shapeId="0">
      <text>
        <t>SOXX monthly close: https://www.statmuse.com/money/ask/soxx-return-from-2020-to-2025</t>
      </text>
    </comment>
    <comment ref="B27" authorId="0" shapeId="0">
      <text>
        <t>SOXX monthly close: https://www.statmuse.com/money/ask/soxx-return-from-2020-to-2025</t>
      </text>
    </comment>
    <comment ref="B28" authorId="0" shapeId="0">
      <text>
        <t>SOXX monthly close: https://www.statmuse.com/money/ask/soxx-return-from-2020-to-2025</t>
      </text>
    </comment>
    <comment ref="B29" authorId="0" shapeId="0">
      <text>
        <t>SOXX monthly close: https://www.statmuse.com/money/ask/soxx-return-from-2020-to-2025</t>
      </text>
    </comment>
    <comment ref="B30" authorId="0" shapeId="0">
      <text>
        <t>SOXX monthly close: https://www.statmuse.com/money/ask/soxx-return-from-2020-to-2025</t>
      </text>
    </comment>
    <comment ref="B31" authorId="0" shapeId="0">
      <text>
        <t>SOXX monthly close: https://www.statmuse.com/money/ask/soxx-return-from-2020-to-2025</t>
      </text>
    </comment>
    <comment ref="B32" authorId="0" shapeId="0">
      <text>
        <t>SOXX monthly close: https://www.statmuse.com/money/ask/soxx-return-from-2020-to-2025</t>
      </text>
    </comment>
    <comment ref="B33" authorId="0" shapeId="0">
      <text>
        <t>SOXX monthly close: https://www.statmuse.com/money/ask/soxx-return-from-2020-to-2025</t>
      </text>
    </comment>
    <comment ref="B34" authorId="0" shapeId="0">
      <text>
        <t>SOXX monthly close: https://www.statmuse.com/money/ask/soxx-return-from-2020-to-2025</t>
      </text>
    </comment>
    <comment ref="B35" authorId="0" shapeId="0">
      <text>
        <t>SOXX monthly close: https://www.statmuse.com/money/ask/soxx-return-from-2020-to-2025</t>
      </text>
    </comment>
    <comment ref="B36" authorId="0" shapeId="0">
      <text>
        <t>SOXX monthly close: https://www.statmuse.com/money/ask/soxx-return-from-2020-to-2025</t>
      </text>
    </comment>
    <comment ref="B37" authorId="0" shapeId="0">
      <text>
        <t>SOXX monthly close: https://www.statmuse.com/money/ask/soxx-return-from-2020-to-2025</t>
      </text>
    </comment>
    <comment ref="B38" authorId="0" shapeId="0">
      <text>
        <t>SOXX monthly close: https://www.statmuse.com/money/ask/soxx-return-from-2020-to-2025</t>
      </text>
    </comment>
    <comment ref="B39" authorId="0" shapeId="0">
      <text>
        <t>SOXX monthly close: https://www.statmuse.com/money/ask?q=What%27s+the+all-time+high+for+SOXX%3F</t>
      </text>
    </comment>
    <comment ref="B40" authorId="0" shapeId="0">
      <text>
        <t>SOXX monthly close: https://www.statmuse.com/money/ask?q=What%27s+the+all-time+high+for+SOXX%3F</t>
      </text>
    </comment>
    <comment ref="B41" authorId="0" shapeId="0">
      <text>
        <t>SOXX monthly close: https://www.statmuse.com/money/ask?q=What%27s+the+all-time+high+for+SOXX%3F</t>
      </text>
    </comment>
    <comment ref="B42" authorId="0" shapeId="0">
      <text>
        <t>SOXX monthly close: https://www.statmuse.com/money/ask?q=What%27s+the+all-time+high+for+SOXX%3F</t>
      </text>
    </comment>
    <comment ref="B43" authorId="0" shapeId="0">
      <text>
        <t>SOXX monthly close: https://www.statmuse.com/money/ask?q=What%27s+the+all-time+high+for+SOXX%3F</t>
      </text>
    </comment>
    <comment ref="B44" authorId="0" shapeId="0">
      <text>
        <t>SOXX monthly close: https://www.statmuse.com/money/ask?q=What%27s+the+all-time+high+for+SOXX%3F</t>
      </text>
    </comment>
    <comment ref="B45" authorId="0" shapeId="0">
      <text>
        <t>SOXX monthly close: https://www.statmuse.com/money/ask?q=What%27s+the+all-time+high+for+SOXX%3F</t>
      </text>
    </comment>
    <comment ref="B46" authorId="0" shapeId="0">
      <text>
        <t>SOXX monthly close: https://www.statmuse.com/money/ask?q=What%27s+the+all-time+high+for+SOXX%3F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I2" authorId="0" shapeId="0">
      <text>
        <t>Primary/official source for event: https://www.eaton.com/us/en-us/company/news-insights/news-releases/2023/eaton-reports-record-fourth-quarter-2022-results.html</t>
      </text>
    </comment>
    <comment ref="J2" authorId="0" shapeId="0">
      <text>
        <t>Primary/official source for magnitude: https://www.eaton.com/us/en-us/company/news-insights/news-releases/2023/eaton-reports-record-fourth-quarter-2022-results.html</t>
      </text>
    </comment>
    <comment ref="I3" authorId="0" shapeId="0">
      <text>
        <t>Primary/official source for event: https://investors.vertiv.com/news/news-details/2023/Vertiv-Reports-Strong-Third-Quarter-Results-and-Raises-Full-Year-2023-Outlook/default.aspx</t>
      </text>
    </comment>
    <comment ref="J3" authorId="0" shapeId="0">
      <text>
        <t>Primary/official source for magnitude: https://investors.vertiv.com/news/news-details/2023/Vertiv-Reports-Strong-Third-Quarter-Results-and-Raises-Full-Year-2023-Outlook/default.aspx</t>
      </text>
    </comment>
    <comment ref="I4" authorId="0" shapeId="0">
      <text>
        <t>Primary/official source for event: https://investors.vertiv.com/news/news-details/2024/Vertiv-Reports-Strong-Fourth-Quarter-Results-and-Provides-Full-Year-2024-Outlook/default.aspx</t>
      </text>
    </comment>
    <comment ref="J4" authorId="0" shapeId="0">
      <text>
        <t>Primary/official source for magnitude: https://investors.vertiv.com/news/news-details/2024/Vertiv-Reports-Strong-Fourth-Quarter-Results-and-Provides-Full-Year-2024-Outlook/default.aspx</t>
      </text>
    </comment>
    <comment ref="I5" authorId="0" shapeId="0">
      <text>
        <t>Primary/official source for event: https://news.skhynix.com/en/new-leadership-spotlight-vice-president-kitae-kim-head-of-hbm-sales-marketing/</t>
      </text>
    </comment>
    <comment ref="J5" authorId="0" shapeId="0">
      <text>
        <t>Primary/official source for magnitude: https://news.skhynix.com/en/new-leadership-spotlight-vice-president-kitae-kim-head-of-hbm-sales-marketing/</t>
      </text>
    </comment>
    <comment ref="I6" authorId="0" shapeId="0">
      <text>
        <t>Primary/official source for event: https://www.dell.com/en-us/dt/corporate/newsroom/announcements/detailpage.press-releases~usa~2024~02~dell-technologies-delivers-fourth-quarter-and-full-year-fiscal-2024-financial-results.htm</t>
      </text>
    </comment>
    <comment ref="J6" authorId="0" shapeId="0">
      <text>
        <t>Primary/official source for magnitude: https://www.dell.com/en-us/dt/corporate/newsroom/announcements/detailpage.press-releases~usa~2024~02~dell-technologies-delivers-fourth-quarter-and-full-year-fiscal-2024-financial-results.htm</t>
      </text>
    </comment>
    <comment ref="I7" authorId="0" shapeId="0">
      <text>
        <t>Primary/official source for event: https://investors.vertiv.com/news/news-details/2024/Vertiv-Reports-60-Organic-Orders-Growth-8-Net-Sales-Growth-in-First-Quarter-Updates-Full-Year-2024-Outlook/default.aspx</t>
      </text>
    </comment>
    <comment ref="J7" authorId="0" shapeId="0">
      <text>
        <t>Primary/official source for magnitude: https://investors.vertiv.com/news/news-details/2024/Vertiv-Reports-60-Organic-Orders-Growth-8-Net-Sales-Growth-in-First-Quarter-Updates-Full-Year-2024-Outlook/default.aspx</t>
      </text>
    </comment>
    <comment ref="I8" authorId="0" shapeId="0">
      <text>
        <t>Primary/official source for event: https://investors.delltechnologies.com/news-releases/news-release-details/dell-technologies-delivers-first-quarter-fiscal-2025-financial</t>
      </text>
    </comment>
    <comment ref="J8" authorId="0" shapeId="0">
      <text>
        <t>Primary/official source for magnitude: https://investors.delltechnologies.com/news-releases/news-release-details/dell-technologies-delivers-first-quarter-fiscal-2025-financial</t>
      </text>
    </comment>
    <comment ref="I9" authorId="0" shapeId="0">
      <text>
        <t>Primary/official source for event: https://investor.tsmc.com/english/encrypt/files/encrypt_file/reports/2024-08/5122725a56670882d777a8e8bfe0ed247cc55330/TSMC%202Q24%20Transcript.pdf</t>
      </text>
    </comment>
    <comment ref="J9" authorId="0" shapeId="0">
      <text>
        <t>Primary/official source for magnitude: https://investor.tsmc.com/english/encrypt/files/encrypt_file/reports/2024-08/5122725a56670882d777a8e8bfe0ed247cc55330/TSMC%202Q24%20Transcript.pdf</t>
      </text>
    </comment>
    <comment ref="I10" authorId="0" shapeId="0">
      <text>
        <t>Primary/official source for event: https://investors.vertiv.com/news/news-details/2024/Vertiv-Reports-Strong-Third-Quarter-2024-Results-and-Raises-Full-Year-Guidance/default.aspx</t>
      </text>
    </comment>
    <comment ref="J10" authorId="0" shapeId="0">
      <text>
        <t>Primary/official source for magnitude: https://investors.vertiv.com/news/news-details/2024/Vertiv-Reports-Strong-Third-Quarter-2024-Results-and-Raises-Full-Year-Guidance/default.aspx</t>
      </text>
    </comment>
    <comment ref="I11" authorId="0" shapeId="0">
      <text>
        <t>Primary/official source for event: https://www.eaton.com/content/dam/eaton/company/investor-relations/quarterly-earnings/filings/2024/q4/4Q-2024-analyst-presentation.pdf</t>
      </text>
    </comment>
    <comment ref="J11" authorId="0" shapeId="0">
      <text>
        <t>Primary/official source for magnitude: https://www.eaton.com/content/dam/eaton/company/investor-relations/quarterly-earnings/filings/2024/q4/4Q-2024-analyst-presentation.pdf</t>
      </text>
    </comment>
    <comment ref="I12" authorId="0" shapeId="0">
      <text>
        <t>Primary/official source for event: https://investors.micron.com/static-files/52ce0c07-49dc-4eab-b1d2-a67bde373bca</t>
      </text>
    </comment>
    <comment ref="J12" authorId="0" shapeId="0">
      <text>
        <t>Primary/official source for magnitude: https://investors.micron.com/static-files/52ce0c07-49dc-4eab-b1d2-a67bde373bca</t>
      </text>
    </comment>
    <comment ref="I13" authorId="0" shapeId="0">
      <text>
        <t>Primary/official source for event: https://investors.vertiv.com/news/news-details/2025/Vertiv-Reports-Strong-Orders-Sales-and-EPS-Growth-Raises-Full-Year-Guidance/</t>
      </text>
    </comment>
    <comment ref="J13" authorId="0" shapeId="0">
      <text>
        <t>Primary/official source for magnitude: https://investors.vertiv.com/news/news-details/2025/Vertiv-Reports-Strong-Orders-Sales-and-EPS-Growth-Raises-Full-Year-Guidance/</t>
      </text>
    </comment>
    <comment ref="I14" authorId="0" shapeId="0">
      <text>
        <t>Primary/official source for event: https://investors.caterpillar.com/news/news-details/2025/Joule-Caterpillar-and-Wheeler-Announce-an-Agreement-to-Power-Americas-Growing-Data-Center-Energy-Needs/default.aspx</t>
      </text>
    </comment>
    <comment ref="J14" authorId="0" shapeId="0">
      <text>
        <t>Primary/official source for magnitude: https://investors.caterpillar.com/news/news-details/2025/Joule-Caterpillar-and-Wheeler-Announce-an-Agreement-to-Power-Americas-Growing-Data-Center-Energy-Needs/default.aspx</t>
      </text>
    </comment>
    <comment ref="I15" authorId="0" shapeId="0">
      <text>
        <t>Primary/official source for event: https://investors.caterpillar.com/news/news-details/2025/Caterpillar-and-Hunt-Energy-Company-L-P--Sign-Long-Term-Strategic-Agreement-to-Deliver-Power-Solutions-for-Data-Centers/default.aspx</t>
      </text>
    </comment>
    <comment ref="J15" authorId="0" shapeId="0">
      <text>
        <t>Primary/official source for magnitude: https://investors.caterpillar.com/news/news-details/2025/Caterpillar-and-Hunt-Energy-Company-L-P--Sign-Long-Term-Strategic-Agreement-to-Deliver-Power-Solutions-for-Data-Centers/default.aspx</t>
      </text>
    </comment>
    <comment ref="I16" authorId="0" shapeId="0">
      <text>
        <t>Primary/official source for event: https://investors.vertiv.com/news/news-details/2025/Vertiv-Reports-Strong-Third-Quarter-Results-including-Organic-Orders-60-Diluted-EPS-122-Adjusted-EPS-63-Raises-2025-Guidance/</t>
      </text>
    </comment>
    <comment ref="J16" authorId="0" shapeId="0">
      <text>
        <t>Primary/official source for magnitude: https://investors.vertiv.com/news/news-details/2025/Vertiv-Reports-Strong-Third-Quarter-Results-including-Organic-Orders-60-Diluted-EPS-122-Adjusted-EPS-63-Raises-2025-Guidance/</t>
      </text>
    </comment>
    <comment ref="I17" authorId="0" shapeId="0">
      <text>
        <t>Primary/official source for event: https://www.eaton.com/content/dam/eaton/company/investor-relations/quarterly-earnings/filings/2025/q3/3Q-2025-earnings-complete.pdf</t>
      </text>
    </comment>
    <comment ref="J17" authorId="0" shapeId="0">
      <text>
        <t>Primary/official source for magnitude: https://www.eaton.com/content/dam/eaton/company/investor-relations/quarterly-earnings/filings/2025/q3/3Q-2025-earnings-complete.pdf</t>
      </text>
    </comment>
    <comment ref="I18" authorId="0" shapeId="0">
      <text>
        <t>Primary/official source for event: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J18" authorId="0" shapeId="0">
      <text>
        <t>Primary/official source for magnitude: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I19" authorId="0" shapeId="0">
      <text>
        <t>Primary/official source for event: https://www.eaton.com/content/dam/eaton/company/investor-relations/quarterly-earnings/filings/2025/q4/4Q-2025-analyst-presentation.pdf</t>
      </text>
    </comment>
    <comment ref="J19" authorId="0" shapeId="0">
      <text>
        <t>Primary/official source for magnitude: https://www.eaton.com/content/dam/eaton/company/investor-relations/quarterly-earnings/filings/2025/q4/4Q-2025-analyst-presentation.pdf</t>
      </text>
    </comment>
    <comment ref="I20" authorId="0" shapeId="0">
      <text>
        <t>Primary/official source for event: https://investors.vertiv.com/news/news-details/2026/Vertiv-Reports-Strong-Fourth-Quarter-with-Organic-Orders-Growth-of-252-and-Diluted-EPS-Growth-of-200-Adjusted-Diluted-EPS-37/</t>
      </text>
    </comment>
    <comment ref="J20" authorId="0" shapeId="0">
      <text>
        <t>Primary/official source for magnitude: https://investors.vertiv.com/news/news-details/2026/Vertiv-Reports-Strong-Fourth-Quarter-with-Organic-Orders-Growth-of-252-and-Diluted-EPS-Growth-of-200-Adjusted-Diluted-EPS-37/</t>
      </text>
    </comment>
    <comment ref="I21" authorId="0" shapeId="0">
      <text>
        <t>Primary/official source for event: https://emcorgroup.com/investor-relations/press-releases/2026-news/emcor-group-inc-reports-fourth-quarter-and-full-year-2025-results</t>
      </text>
    </comment>
    <comment ref="J21" authorId="0" shapeId="0">
      <text>
        <t>Primary/official source for magnitude: https://emcorgroup.com/investor-relations/press-releases/2026-news/emcor-group-inc-reports-fourth-quarter-and-full-year-2025-results</t>
      </text>
    </comment>
    <comment ref="I22" authorId="0" shapeId="0">
      <text>
        <t>Primary/official source for event: https://www.eaton.com/content/dam/eaton/company/investor-relations/quarterly-earnings/filings/2026/q1/q1-2026-analyst-presentation.pdf</t>
      </text>
    </comment>
    <comment ref="J22" authorId="0" shapeId="0">
      <text>
        <t>Primary/official source for magnitude: https://www.eaton.com/content/dam/eaton/company/investor-relations/quarterly-earnings/filings/2026/q1/q1-2026-analyst-presentation.pdf</t>
      </text>
    </comment>
    <comment ref="I23" authorId="0" shapeId="0">
      <text>
        <t>Primary/official source for event: https://www.dell.com/en-us/dt/corporate/newsroom/announcements/detailpage.press-releases~usa~2026~05~dell-technologies-delivers-first-quarter-fiscal-2027-financial-results.htm</t>
      </text>
    </comment>
    <comment ref="J23" authorId="0" shapeId="0">
      <text>
        <t>Primary/official source for magnitude: https://www.dell.com/en-us/dt/corporate/newsroom/announcements/detailpage.press-releases~usa~2026~05~dell-technologies-delivers-first-quarter-fiscal-2027-financial-results.htm</t>
      </text>
    </comment>
    <comment ref="I24" authorId="0" shapeId="0">
      <text>
        <t>Primary/official source for event: https://www.dell.com/en-us/dt/corporate/newsroom/announcements/detailpage.press-releases~usa~2026~09~dell-technologies-delivers-second-quarter-fiscal-2027-financial-results.htm</t>
      </text>
    </comment>
    <comment ref="J24" authorId="0" shapeId="0">
      <text>
        <t>Primary/official source for magnitude: https://www.dell.com/en-us/dt/corporate/newsroom/announcements/detailpage.press-releases~usa~2026~09~dell-technologies-delivers-second-quarter-fiscal-2027-financial-results.htm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H5" authorId="0" shapeId="0">
      <text>
        <t>CAT Monarch 2 GW order: Jan 28, 2026; genset deliveries Sep 2026–Aug 2027, commissioning within months. https://investors.caterpillar.com/news/news-details/2026/American-Intelligence--Power-Forms-Strategic-Alliance-with-Caterpillar-and-Boyd-CAT-to-Deploy-2-Gigawatts-of-Dedicated-Power-for-Hyperscale-AI-Infrastructure/default.aspx</t>
      </text>
    </comment>
    <comment ref="H6" authorId="0" shapeId="0">
      <text>
        <t>EMCOR says large projects often span multiple years. 2025 RPO and data-center construction growth: https://www.sec.gov/Archives/edgar/data/105634/000010563426000025/eme-20251231.htm</t>
      </text>
    </comment>
    <comment ref="H7" authorId="0" shapeId="0">
      <text>
        <t>Vertiv 2025 10-K: majority of $15B backlog expected to ship within 12–18 months. https://www.sec.gov/Archives/edgar/data/1674101/000167410126000008/vrt-20251231.htm</t>
      </text>
    </comment>
    <comment ref="H8" authorId="0" shapeId="0">
      <text>
        <t>SK hynix Feb 2024: current-year HBM sold out, already preparing next year. Micron Mar 2025: 2025 HBM sold out, negotiating 2026 demand.</t>
      </text>
    </comment>
    <comment ref="H9" authorId="0" shapeId="0">
      <text>
        <t>Dell: AI orders/backlog provide a visible late-stage bridge; Q1 FY25 orders $2.6B, shipments $1.7B, backlog $3.8B.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15" customHeight="1">
      <c r="A1" s="1" t="inlineStr">
        <is>
          <t>Physical → Silicon Timing Model</t>
        </is>
      </c>
    </row>
    <row r="2" ht="15" customHeight="1">
      <c r="A2" s="2" t="inlineStr">
        <is>
          <t>Goal: identify WHEN physical data-center infrastructure orders are far enough along to front-run chip orders, chip revenue and semiconductor equity re-ratings.</t>
        </is>
      </c>
    </row>
    <row r="3" ht="15" customHeight="1"/>
    <row r="4" ht="20" customHeight="1">
      <c r="A4" s="3" t="inlineStr">
        <is>
          <t>Preliminary result</t>
        </is>
      </c>
    </row>
    <row r="5" ht="15" customHeight="1">
      <c r="A5" s="4" t="inlineStr">
        <is>
          <t>Sample</t>
        </is>
      </c>
      <c r="B5" s="4" t="inlineStr">
        <is>
          <t>N</t>
        </is>
      </c>
      <c r="C5" s="4" t="inlineStr">
        <is>
          <t>Avg 3M SOXX</t>
        </is>
      </c>
      <c r="D5" s="4" t="inlineStr">
        <is>
          <t>Median 3M</t>
        </is>
      </c>
      <c r="E5" s="4" t="inlineStr">
        <is>
          <t>Avg 6M SOXX</t>
        </is>
      </c>
      <c r="F5" s="4" t="inlineStr">
        <is>
          <t>Avg lead to next &gt;=10% month</t>
        </is>
      </c>
      <c r="G5" s="5" t="n"/>
      <c r="H5" s="5" t="n"/>
      <c r="I5" s="5" t="n"/>
      <c r="J5" s="5" t="n"/>
    </row>
    <row r="6" ht="15" customHeight="1">
      <c r="A6" s="6">
        <f>'Event Study'!A6</f>
        <v/>
      </c>
      <c r="B6" s="6">
        <f>'Event Study'!B6</f>
        <v/>
      </c>
      <c r="C6" s="7">
        <f>'Event Study'!D6</f>
        <v/>
      </c>
      <c r="D6" s="7">
        <f>'Event Study'!E6</f>
        <v/>
      </c>
      <c r="E6" s="7">
        <f>'Event Study'!F6</f>
        <v/>
      </c>
      <c r="F6" s="8">
        <f>'Event Study'!H6</f>
        <v/>
      </c>
    </row>
    <row r="7" ht="15" customHeight="1">
      <c r="A7" s="6">
        <f>'Event Study'!A7</f>
        <v/>
      </c>
      <c r="B7" s="6">
        <f>'Event Study'!B7</f>
        <v/>
      </c>
      <c r="C7" s="7">
        <f>'Event Study'!D7</f>
        <v/>
      </c>
      <c r="D7" s="7">
        <f>'Event Study'!E7</f>
        <v/>
      </c>
      <c r="E7" s="7">
        <f>'Event Study'!F7</f>
        <v/>
      </c>
      <c r="F7" s="8">
        <f>'Event Study'!H7</f>
        <v/>
      </c>
    </row>
    <row r="8" ht="15" customHeight="1">
      <c r="A8" s="9">
        <f>'Event Study'!A8</f>
        <v/>
      </c>
      <c r="B8" s="10">
        <f>'Event Study'!B8</f>
        <v/>
      </c>
      <c r="C8" s="11">
        <f>'Event Study'!D8</f>
        <v/>
      </c>
      <c r="D8" s="11">
        <f>'Event Study'!E8</f>
        <v/>
      </c>
      <c r="E8" s="11">
        <f>'Event Study'!F8</f>
        <v/>
      </c>
      <c r="F8" s="12">
        <f>'Event Study'!H8</f>
        <v/>
      </c>
    </row>
    <row r="9" ht="15" customHeight="1">
      <c r="A9" s="6">
        <f>'Event Study'!A9</f>
        <v/>
      </c>
      <c r="B9" s="6">
        <f>'Event Study'!B9</f>
        <v/>
      </c>
      <c r="C9" s="7">
        <f>'Event Study'!D9</f>
        <v/>
      </c>
      <c r="D9" s="7">
        <f>'Event Study'!E9</f>
        <v/>
      </c>
      <c r="E9" s="7">
        <f>'Event Study'!F9</f>
        <v/>
      </c>
      <c r="F9" s="8">
        <f>'Event Study'!H9</f>
        <v/>
      </c>
    </row>
    <row r="10" ht="15" customHeight="1"/>
    <row r="11" ht="20" customHeight="1">
      <c r="A11" s="3" t="inlineStr">
        <is>
          <t>Working trading clock</t>
        </is>
      </c>
    </row>
    <row r="12" ht="30" customHeight="1">
      <c r="A12" s="13" t="inlineStr">
        <is>
          <t>1</t>
        </is>
      </c>
      <c r="B12" s="14" t="inlineStr">
        <is>
          <t>Power/generation contract becomes firm</t>
        </is>
      </c>
      <c r="E12" s="15" t="inlineStr">
        <is>
          <t>Earliest signal. Direct behind-the-meter orders can establish a hard delivery clock ~8–20+ months before power-on.</t>
        </is>
      </c>
    </row>
    <row r="13" ht="30" customHeight="1">
      <c r="A13" s="13" t="inlineStr">
        <is>
          <t>2</t>
        </is>
      </c>
      <c r="B13" s="14" t="inlineStr">
        <is>
          <t>Electrical/cooling orders accelerate</t>
        </is>
      </c>
      <c r="E13" s="15" t="inlineStr">
        <is>
          <t>Best preliminary public signal. In the Jul-2025–Feb-2026 sample, the next &gt;=10% SOXX month arrived about 2 months later on average.</t>
        </is>
      </c>
    </row>
    <row r="14" ht="30" customHeight="1">
      <c r="A14" s="13" t="inlineStr">
        <is>
          <t>3</t>
        </is>
      </c>
      <c r="B14" s="14" t="inlineStr">
        <is>
          <t>HBM / CoWoS / GPU allocation confirms</t>
        </is>
      </c>
      <c r="E14" s="15" t="inlineStr">
        <is>
          <t>Procurement can be 6–18 months ahead of deployment; useful confirmation, but semis may already be moving.</t>
        </is>
      </c>
    </row>
    <row r="15" ht="30" customHeight="1">
      <c r="A15" s="13" t="inlineStr">
        <is>
          <t>4</t>
        </is>
      </c>
      <c r="B15" s="14" t="inlineStr">
        <is>
          <t>Server backlog / shipments surge</t>
        </is>
      </c>
      <c r="E15" s="15" t="inlineStr">
        <is>
          <t>Late confirmation. Chip revenue is already being recognized or imminent.</t>
        </is>
      </c>
    </row>
    <row r="16" ht="30" customHeight="1">
      <c r="A16" s="13" t="inlineStr">
        <is>
          <t>5</t>
        </is>
      </c>
      <c r="B16" s="14" t="inlineStr">
        <is>
          <t>Compute goes live</t>
        </is>
      </c>
      <c r="E16" s="15" t="inlineStr">
        <is>
          <t>Too late for the entry signal; this is where the physical build begins monetizing.</t>
        </is>
      </c>
    </row>
    <row r="17" ht="15" customHeight="1"/>
    <row r="18" ht="15" customHeight="1"/>
    <row r="19" ht="20" customHeight="1">
      <c r="A19" s="3" t="inlineStr">
        <is>
          <t>What the backtest says — and does not say</t>
        </is>
      </c>
    </row>
    <row r="20" ht="38" customHeight="1">
      <c r="A20" s="16" t="inlineStr">
        <is>
          <t>Evidence</t>
        </is>
      </c>
      <c r="B20" s="15" t="inlineStr">
        <is>
          <t>The power-constrained 2025H2–2026 upstream sample shows much stronger 3M/6M SOXX forward returns than the 2023–24 demand-led sample. This is consistent with the thesis that physical capacity became the gating variable.</t>
        </is>
      </c>
    </row>
    <row r="21" ht="38" customHeight="1">
      <c r="A21" s="16" t="inlineStr">
        <is>
          <t>Best current signal</t>
        </is>
      </c>
      <c r="B21" s="15" t="inlineStr">
        <is>
          <t>Watch VRT/ETN/CAT/MEP order inflections and firm power-delivery commitments BEFORE Dell/server revenue and HBM/CoWoS confirmations become obvious.</t>
        </is>
      </c>
    </row>
    <row r="22" ht="38" customHeight="1">
      <c r="A22" s="17" t="inlineStr">
        <is>
          <t>Do not overread</t>
        </is>
      </c>
      <c r="B22" s="15" t="inlineStr">
        <is>
          <t>The sample is small and clustered. Multiple events reflect the same build cycle. The regime split is ex post. This is a countdown framework, not a proven factor model.</t>
        </is>
      </c>
    </row>
    <row r="23" ht="38" customHeight="1">
      <c r="A23" s="16" t="inlineStr">
        <is>
          <t>Forward test</t>
        </is>
      </c>
      <c r="B23" s="15" t="inlineStr">
        <is>
          <t>For new projects with an explicit power-delivery date, log the generation/electrical/cooling order date, then measure how many months until HBM/GPU/server orders, chip revenue, and SOXX relative-strength inflection.</t>
        </is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mergeCells count="19">
    <mergeCell ref="B14:D14"/>
    <mergeCell ref="E13:J13"/>
    <mergeCell ref="B23:J23"/>
    <mergeCell ref="B13:D13"/>
    <mergeCell ref="A4:J4"/>
    <mergeCell ref="A19:J19"/>
    <mergeCell ref="E15:J15"/>
    <mergeCell ref="B15:D15"/>
    <mergeCell ref="A11:J11"/>
    <mergeCell ref="A1:J1"/>
    <mergeCell ref="E16:J16"/>
    <mergeCell ref="B20:J20"/>
    <mergeCell ref="E12:J12"/>
    <mergeCell ref="B16:D16"/>
    <mergeCell ref="E14:J14"/>
    <mergeCell ref="B22:J22"/>
    <mergeCell ref="A2:J2"/>
    <mergeCell ref="B12:D12"/>
    <mergeCell ref="B21:J21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66666"/>
    <outlinePr summaryBelow="1" summaryRight="1"/>
    <pageSetUpPr fitToPage="1"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5" customWidth="1" min="5" max="5"/>
    <col width="18" customWidth="1" min="6" max="6"/>
    <col width="62" customWidth="1" min="7" max="7"/>
  </cols>
  <sheetData>
    <row r="1">
      <c r="A1" s="4" t="inlineStr">
        <is>
          <t>Month</t>
        </is>
      </c>
      <c r="B1" s="4" t="inlineStr">
        <is>
          <t>SOXX Close</t>
        </is>
      </c>
      <c r="C1" s="4" t="inlineStr">
        <is>
          <t>Monthly Return</t>
        </is>
      </c>
      <c r="D1" s="4" t="inlineStr">
        <is>
          <t>Strong Month &gt;=10%</t>
        </is>
      </c>
      <c r="E1" s="4" t="inlineStr">
        <is>
          <t>Upstream Events</t>
        </is>
      </c>
      <c r="F1" s="4" t="inlineStr">
        <is>
          <t>Bridge/Confirm Events</t>
        </is>
      </c>
      <c r="G1" s="4" t="inlineStr">
        <is>
          <t>Source URL</t>
        </is>
      </c>
    </row>
    <row r="2">
      <c r="A2" s="18" t="n">
        <v>44896</v>
      </c>
      <c r="B2" s="19" t="n">
        <v>113.26</v>
      </c>
      <c r="C2" s="6" t="inlineStr"/>
      <c r="D2" s="20">
        <f>IF(C2&gt;=10%,1,0)</f>
        <v/>
      </c>
      <c r="E2" s="20">
        <f>COUNTIFS('Supplier Signals'!$P$2:$P$100,A2,'Supplier Signals'!$F$2:$F$100,"Upstream physical")</f>
        <v/>
      </c>
      <c r="F2" s="20">
        <f>COUNTIFS('Supplier Signals'!$P$2:$P$100,A2,'Supplier Signals'!$F$2:$F$100,"&lt;&gt;Upstream physical")</f>
        <v/>
      </c>
      <c r="G2" s="21" t="inlineStr">
        <is>
          <t>https://www.statmuse.com/money/ask?q=soxx+returns+2011-2024</t>
        </is>
      </c>
    </row>
    <row r="3">
      <c r="A3" s="18" t="n">
        <v>44927</v>
      </c>
      <c r="B3" s="19" t="n">
        <v>131.39</v>
      </c>
      <c r="C3" s="22">
        <f>B3/B2-1</f>
        <v/>
      </c>
      <c r="D3" s="20">
        <f>IF(C3&gt;=10%,1,0)</f>
        <v/>
      </c>
      <c r="E3" s="20">
        <f>COUNTIFS('Supplier Signals'!$P$2:$P$100,A3,'Supplier Signals'!$F$2:$F$100,"Upstream physical")</f>
        <v/>
      </c>
      <c r="F3" s="20">
        <f>COUNTIFS('Supplier Signals'!$P$2:$P$100,A3,'Supplier Signals'!$F$2:$F$100,"&lt;&gt;Upstream physical")</f>
        <v/>
      </c>
      <c r="G3" s="21" t="inlineStr">
        <is>
          <t>https://www.statmuse.com/money/ask?q=soxx+returns+2011-2024</t>
        </is>
      </c>
    </row>
    <row r="4">
      <c r="A4" s="18" t="n">
        <v>44958</v>
      </c>
      <c r="B4" s="19" t="n">
        <v>133.39</v>
      </c>
      <c r="C4" s="22">
        <f>B4/B3-1</f>
        <v/>
      </c>
      <c r="D4" s="20">
        <f>IF(C4&gt;=10%,1,0)</f>
        <v/>
      </c>
      <c r="E4" s="20">
        <f>COUNTIFS('Supplier Signals'!$P$2:$P$100,A4,'Supplier Signals'!$F$2:$F$100,"Upstream physical")</f>
        <v/>
      </c>
      <c r="F4" s="20">
        <f>COUNTIFS('Supplier Signals'!$P$2:$P$100,A4,'Supplier Signals'!$F$2:$F$100,"&lt;&gt;Upstream physical")</f>
        <v/>
      </c>
      <c r="G4" s="21" t="inlineStr">
        <is>
          <t>https://www.statmuse.com/money/ask?q=soxx+returns+2011-2024</t>
        </is>
      </c>
    </row>
    <row r="5">
      <c r="A5" s="18" t="n">
        <v>44986</v>
      </c>
      <c r="B5" s="19" t="n">
        <v>145.1</v>
      </c>
      <c r="C5" s="22">
        <f>B5/B4-1</f>
        <v/>
      </c>
      <c r="D5" s="20">
        <f>IF(C5&gt;=10%,1,0)</f>
        <v/>
      </c>
      <c r="E5" s="20">
        <f>COUNTIFS('Supplier Signals'!$P$2:$P$100,A5,'Supplier Signals'!$F$2:$F$100,"Upstream physical")</f>
        <v/>
      </c>
      <c r="F5" s="20">
        <f>COUNTIFS('Supplier Signals'!$P$2:$P$100,A5,'Supplier Signals'!$F$2:$F$100,"&lt;&gt;Upstream physical")</f>
        <v/>
      </c>
      <c r="G5" s="21" t="inlineStr">
        <is>
          <t>https://www.statmuse.com/money/ask?q=soxx+returns+2011-2024</t>
        </is>
      </c>
    </row>
    <row r="6">
      <c r="A6" s="18" t="n">
        <v>45017</v>
      </c>
      <c r="B6" s="19" t="n">
        <v>134.48</v>
      </c>
      <c r="C6" s="22">
        <f>B6/B5-1</f>
        <v/>
      </c>
      <c r="D6" s="20">
        <f>IF(C6&gt;=10%,1,0)</f>
        <v/>
      </c>
      <c r="E6" s="20">
        <f>COUNTIFS('Supplier Signals'!$P$2:$P$100,A6,'Supplier Signals'!$F$2:$F$100,"Upstream physical")</f>
        <v/>
      </c>
      <c r="F6" s="20">
        <f>COUNTIFS('Supplier Signals'!$P$2:$P$100,A6,'Supplier Signals'!$F$2:$F$100,"&lt;&gt;Upstream physical")</f>
        <v/>
      </c>
      <c r="G6" s="21" t="inlineStr">
        <is>
          <t>https://www.statmuse.com/money/ask?q=soxx+returns+2011-2024</t>
        </is>
      </c>
    </row>
    <row r="7">
      <c r="A7" s="18" t="n">
        <v>45047</v>
      </c>
      <c r="B7" s="19" t="n">
        <v>155.55</v>
      </c>
      <c r="C7" s="22">
        <f>B7/B6-1</f>
        <v/>
      </c>
      <c r="D7" s="20">
        <f>IF(C7&gt;=10%,1,0)</f>
        <v/>
      </c>
      <c r="E7" s="20">
        <f>COUNTIFS('Supplier Signals'!$P$2:$P$100,A7,'Supplier Signals'!$F$2:$F$100,"Upstream physical")</f>
        <v/>
      </c>
      <c r="F7" s="20">
        <f>COUNTIFS('Supplier Signals'!$P$2:$P$100,A7,'Supplier Signals'!$F$2:$F$100,"&lt;&gt;Upstream physical")</f>
        <v/>
      </c>
      <c r="G7" s="21" t="inlineStr">
        <is>
          <t>https://www.statmuse.com/money/ask?q=soxx+returns+2011-2024</t>
        </is>
      </c>
    </row>
    <row r="8">
      <c r="A8" s="18" t="n">
        <v>45078</v>
      </c>
      <c r="B8" s="19" t="n">
        <v>165.75</v>
      </c>
      <c r="C8" s="22">
        <f>B8/B7-1</f>
        <v/>
      </c>
      <c r="D8" s="20">
        <f>IF(C8&gt;=10%,1,0)</f>
        <v/>
      </c>
      <c r="E8" s="20">
        <f>COUNTIFS('Supplier Signals'!$P$2:$P$100,A8,'Supplier Signals'!$F$2:$F$100,"Upstream physical")</f>
        <v/>
      </c>
      <c r="F8" s="20">
        <f>COUNTIFS('Supplier Signals'!$P$2:$P$100,A8,'Supplier Signals'!$F$2:$F$100,"&lt;&gt;Upstream physical")</f>
        <v/>
      </c>
      <c r="G8" s="21" t="inlineStr">
        <is>
          <t>https://www.statmuse.com/money/ask?q=soxx+returns+2011-2024</t>
        </is>
      </c>
    </row>
    <row r="9">
      <c r="A9" s="18" t="n">
        <v>45108</v>
      </c>
      <c r="B9" s="19" t="n">
        <v>174.91</v>
      </c>
      <c r="C9" s="22">
        <f>B9/B8-1</f>
        <v/>
      </c>
      <c r="D9" s="20">
        <f>IF(C9&gt;=10%,1,0)</f>
        <v/>
      </c>
      <c r="E9" s="20">
        <f>COUNTIFS('Supplier Signals'!$P$2:$P$100,A9,'Supplier Signals'!$F$2:$F$100,"Upstream physical")</f>
        <v/>
      </c>
      <c r="F9" s="20">
        <f>COUNTIFS('Supplier Signals'!$P$2:$P$100,A9,'Supplier Signals'!$F$2:$F$100,"&lt;&gt;Upstream physical")</f>
        <v/>
      </c>
      <c r="G9" s="21" t="inlineStr">
        <is>
          <t>https://www.statmuse.com/money/ask?q=soxx+returns+2011-2024</t>
        </is>
      </c>
    </row>
    <row r="10">
      <c r="A10" s="18" t="n">
        <v>45139</v>
      </c>
      <c r="B10" s="19" t="n">
        <v>166.86</v>
      </c>
      <c r="C10" s="22">
        <f>B10/B9-1</f>
        <v/>
      </c>
      <c r="D10" s="20">
        <f>IF(C10&gt;=10%,1,0)</f>
        <v/>
      </c>
      <c r="E10" s="20">
        <f>COUNTIFS('Supplier Signals'!$P$2:$P$100,A10,'Supplier Signals'!$F$2:$F$100,"Upstream physical")</f>
        <v/>
      </c>
      <c r="F10" s="20">
        <f>COUNTIFS('Supplier Signals'!$P$2:$P$100,A10,'Supplier Signals'!$F$2:$F$100,"&lt;&gt;Upstream physical")</f>
        <v/>
      </c>
      <c r="G10" s="21" t="inlineStr">
        <is>
          <t>https://www.statmuse.com/money/ask?q=soxx+returns+2011-2024</t>
        </is>
      </c>
    </row>
    <row r="11">
      <c r="A11" s="18" t="n">
        <v>45170</v>
      </c>
      <c r="B11" s="19" t="n">
        <v>155.32</v>
      </c>
      <c r="C11" s="22">
        <f>B11/B10-1</f>
        <v/>
      </c>
      <c r="D11" s="20">
        <f>IF(C11&gt;=10%,1,0)</f>
        <v/>
      </c>
      <c r="E11" s="20">
        <f>COUNTIFS('Supplier Signals'!$P$2:$P$100,A11,'Supplier Signals'!$F$2:$F$100,"Upstream physical")</f>
        <v/>
      </c>
      <c r="F11" s="20">
        <f>COUNTIFS('Supplier Signals'!$P$2:$P$100,A11,'Supplier Signals'!$F$2:$F$100,"&lt;&gt;Upstream physical")</f>
        <v/>
      </c>
      <c r="G11" s="21" t="inlineStr">
        <is>
          <t>https://www.statmuse.com/money/ask?q=soxx+returns+2011-2024</t>
        </is>
      </c>
    </row>
    <row r="12">
      <c r="A12" s="18" t="n">
        <v>45200</v>
      </c>
      <c r="B12" s="19" t="n">
        <v>145.07</v>
      </c>
      <c r="C12" s="22">
        <f>B12/B11-1</f>
        <v/>
      </c>
      <c r="D12" s="20">
        <f>IF(C12&gt;=10%,1,0)</f>
        <v/>
      </c>
      <c r="E12" s="20">
        <f>COUNTIFS('Supplier Signals'!$P$2:$P$100,A12,'Supplier Signals'!$F$2:$F$100,"Upstream physical")</f>
        <v/>
      </c>
      <c r="F12" s="20">
        <f>COUNTIFS('Supplier Signals'!$P$2:$P$100,A12,'Supplier Signals'!$F$2:$F$100,"&lt;&gt;Upstream physical")</f>
        <v/>
      </c>
      <c r="G12" s="21" t="inlineStr">
        <is>
          <t>https://www.statmuse.com/money/ask?q=soxx+returns+2011-2024</t>
        </is>
      </c>
    </row>
    <row r="13">
      <c r="A13" s="18" t="n">
        <v>45231</v>
      </c>
      <c r="B13" s="19" t="n">
        <v>168.43</v>
      </c>
      <c r="C13" s="22">
        <f>B13/B12-1</f>
        <v/>
      </c>
      <c r="D13" s="20">
        <f>IF(C13&gt;=10%,1,0)</f>
        <v/>
      </c>
      <c r="E13" s="20">
        <f>COUNTIFS('Supplier Signals'!$P$2:$P$100,A13,'Supplier Signals'!$F$2:$F$100,"Upstream physical")</f>
        <v/>
      </c>
      <c r="F13" s="20">
        <f>COUNTIFS('Supplier Signals'!$P$2:$P$100,A13,'Supplier Signals'!$F$2:$F$100,"&lt;&gt;Upstream physical")</f>
        <v/>
      </c>
      <c r="G13" s="21" t="inlineStr">
        <is>
          <t>https://www.statmuse.com/money/ask?q=soxx+returns+2011-2024</t>
        </is>
      </c>
    </row>
    <row r="14">
      <c r="A14" s="18" t="n">
        <v>45261</v>
      </c>
      <c r="B14" s="19" t="n">
        <v>189.28</v>
      </c>
      <c r="C14" s="22">
        <f>B14/B13-1</f>
        <v/>
      </c>
      <c r="D14" s="20">
        <f>IF(C14&gt;=10%,1,0)</f>
        <v/>
      </c>
      <c r="E14" s="20">
        <f>COUNTIFS('Supplier Signals'!$P$2:$P$100,A14,'Supplier Signals'!$F$2:$F$100,"Upstream physical")</f>
        <v/>
      </c>
      <c r="F14" s="20">
        <f>COUNTIFS('Supplier Signals'!$P$2:$P$100,A14,'Supplier Signals'!$F$2:$F$100,"&lt;&gt;Upstream physical")</f>
        <v/>
      </c>
      <c r="G14" s="21" t="inlineStr">
        <is>
          <t>https://www.statmuse.com/money/ask?q=soxx+returns+2011-2024</t>
        </is>
      </c>
    </row>
    <row r="15">
      <c r="A15" s="18" t="n">
        <v>45292</v>
      </c>
      <c r="B15" s="19" t="n">
        <v>192.55</v>
      </c>
      <c r="C15" s="22">
        <f>B15/B14-1</f>
        <v/>
      </c>
      <c r="D15" s="20">
        <f>IF(C15&gt;=10%,1,0)</f>
        <v/>
      </c>
      <c r="E15" s="20">
        <f>COUNTIFS('Supplier Signals'!$P$2:$P$100,A15,'Supplier Signals'!$F$2:$F$100,"Upstream physical")</f>
        <v/>
      </c>
      <c r="F15" s="20">
        <f>COUNTIFS('Supplier Signals'!$P$2:$P$100,A15,'Supplier Signals'!$F$2:$F$100,"&lt;&gt;Upstream physical")</f>
        <v/>
      </c>
      <c r="G15" s="21" t="inlineStr">
        <is>
          <t>https://www.statmuse.com/money/ask?q=soxx+returns+2011-2024</t>
        </is>
      </c>
    </row>
    <row r="16">
      <c r="A16" s="18" t="n">
        <v>45323</v>
      </c>
      <c r="B16" s="19" t="n">
        <v>214.25</v>
      </c>
      <c r="C16" s="22">
        <f>B16/B15-1</f>
        <v/>
      </c>
      <c r="D16" s="20">
        <f>IF(C16&gt;=10%,1,0)</f>
        <v/>
      </c>
      <c r="E16" s="20">
        <f>COUNTIFS('Supplier Signals'!$P$2:$P$100,A16,'Supplier Signals'!$F$2:$F$100,"Upstream physical")</f>
        <v/>
      </c>
      <c r="F16" s="20">
        <f>COUNTIFS('Supplier Signals'!$P$2:$P$100,A16,'Supplier Signals'!$F$2:$F$100,"&lt;&gt;Upstream physical")</f>
        <v/>
      </c>
      <c r="G16" s="21" t="inlineStr">
        <is>
          <t>https://www.statmuse.com/money/ask?q=soxx+returns+2011-2024</t>
        </is>
      </c>
    </row>
    <row r="17">
      <c r="A17" s="18" t="n">
        <v>45352</v>
      </c>
      <c r="B17" s="19" t="n">
        <v>222.91</v>
      </c>
      <c r="C17" s="22">
        <f>B17/B16-1</f>
        <v/>
      </c>
      <c r="D17" s="20">
        <f>IF(C17&gt;=10%,1,0)</f>
        <v/>
      </c>
      <c r="E17" s="20">
        <f>COUNTIFS('Supplier Signals'!$P$2:$P$100,A17,'Supplier Signals'!$F$2:$F$100,"Upstream physical")</f>
        <v/>
      </c>
      <c r="F17" s="20">
        <f>COUNTIFS('Supplier Signals'!$P$2:$P$100,A17,'Supplier Signals'!$F$2:$F$100,"&lt;&gt;Upstream physical")</f>
        <v/>
      </c>
      <c r="G17" s="21" t="inlineStr">
        <is>
          <t>https://www.statmuse.com/money/ask?q=soxx+returns+2011-2024</t>
        </is>
      </c>
    </row>
    <row r="18">
      <c r="A18" s="18" t="n">
        <v>45383</v>
      </c>
      <c r="B18" s="19" t="n">
        <v>211.14</v>
      </c>
      <c r="C18" s="22">
        <f>B18/B17-1</f>
        <v/>
      </c>
      <c r="D18" s="20">
        <f>IF(C18&gt;=10%,1,0)</f>
        <v/>
      </c>
      <c r="E18" s="20">
        <f>COUNTIFS('Supplier Signals'!$P$2:$P$100,A18,'Supplier Signals'!$F$2:$F$100,"Upstream physical")</f>
        <v/>
      </c>
      <c r="F18" s="20">
        <f>COUNTIFS('Supplier Signals'!$P$2:$P$100,A18,'Supplier Signals'!$F$2:$F$100,"&lt;&gt;Upstream physical")</f>
        <v/>
      </c>
      <c r="G18" s="21" t="inlineStr">
        <is>
          <t>https://www.statmuse.com/money/ask?q=soxx+returns+2011-2024</t>
        </is>
      </c>
    </row>
    <row r="19">
      <c r="A19" s="18" t="n">
        <v>45413</v>
      </c>
      <c r="B19" s="19" t="n">
        <v>230.89</v>
      </c>
      <c r="C19" s="22">
        <f>B19/B18-1</f>
        <v/>
      </c>
      <c r="D19" s="20">
        <f>IF(C19&gt;=10%,1,0)</f>
        <v/>
      </c>
      <c r="E19" s="20">
        <f>COUNTIFS('Supplier Signals'!$P$2:$P$100,A19,'Supplier Signals'!$F$2:$F$100,"Upstream physical")</f>
        <v/>
      </c>
      <c r="F19" s="20">
        <f>COUNTIFS('Supplier Signals'!$P$2:$P$100,A19,'Supplier Signals'!$F$2:$F$100,"&lt;&gt;Upstream physical")</f>
        <v/>
      </c>
      <c r="G19" s="21" t="inlineStr">
        <is>
          <t>https://www.statmuse.com/money/ask?q=soxx+returns+2011-2024</t>
        </is>
      </c>
    </row>
    <row r="20">
      <c r="A20" s="18" t="n">
        <v>45444</v>
      </c>
      <c r="B20" s="19" t="n">
        <v>243.66</v>
      </c>
      <c r="C20" s="22">
        <f>B20/B19-1</f>
        <v/>
      </c>
      <c r="D20" s="20">
        <f>IF(C20&gt;=10%,1,0)</f>
        <v/>
      </c>
      <c r="E20" s="20">
        <f>COUNTIFS('Supplier Signals'!$P$2:$P$100,A20,'Supplier Signals'!$F$2:$F$100,"Upstream physical")</f>
        <v/>
      </c>
      <c r="F20" s="20">
        <f>COUNTIFS('Supplier Signals'!$P$2:$P$100,A20,'Supplier Signals'!$F$2:$F$100,"&lt;&gt;Upstream physical")</f>
        <v/>
      </c>
      <c r="G20" s="21" t="inlineStr">
        <is>
          <t>https://www.statmuse.com/money/ask?q=soxx+returns+2011-2024</t>
        </is>
      </c>
    </row>
    <row r="21">
      <c r="A21" s="18" t="n">
        <v>45474</v>
      </c>
      <c r="B21" s="19" t="n">
        <v>232.54</v>
      </c>
      <c r="C21" s="22">
        <f>B21/B20-1</f>
        <v/>
      </c>
      <c r="D21" s="20">
        <f>IF(C21&gt;=10%,1,0)</f>
        <v/>
      </c>
      <c r="E21" s="20">
        <f>COUNTIFS('Supplier Signals'!$P$2:$P$100,A21,'Supplier Signals'!$F$2:$F$100,"Upstream physical")</f>
        <v/>
      </c>
      <c r="F21" s="20">
        <f>COUNTIFS('Supplier Signals'!$P$2:$P$100,A21,'Supplier Signals'!$F$2:$F$100,"&lt;&gt;Upstream physical")</f>
        <v/>
      </c>
      <c r="G21" s="21" t="inlineStr">
        <is>
          <t>https://www.statmuse.com/money/ask?q=soxx+returns+2011-2024</t>
        </is>
      </c>
    </row>
    <row r="22">
      <c r="A22" s="18" t="n">
        <v>45505</v>
      </c>
      <c r="B22" s="19" t="n">
        <v>228.35</v>
      </c>
      <c r="C22" s="22">
        <f>B22/B21-1</f>
        <v/>
      </c>
      <c r="D22" s="20">
        <f>IF(C22&gt;=10%,1,0)</f>
        <v/>
      </c>
      <c r="E22" s="20">
        <f>COUNTIFS('Supplier Signals'!$P$2:$P$100,A22,'Supplier Signals'!$F$2:$F$100,"Upstream physical")</f>
        <v/>
      </c>
      <c r="F22" s="20">
        <f>COUNTIFS('Supplier Signals'!$P$2:$P$100,A22,'Supplier Signals'!$F$2:$F$100,"&lt;&gt;Upstream physical")</f>
        <v/>
      </c>
      <c r="G22" s="21" t="inlineStr">
        <is>
          <t>https://www.statmuse.com/money/ask?q=soxx+returns+2011-2024</t>
        </is>
      </c>
    </row>
    <row r="23">
      <c r="A23" s="18" t="n">
        <v>45536</v>
      </c>
      <c r="B23" s="19" t="n">
        <v>228.36</v>
      </c>
      <c r="C23" s="22">
        <f>B23/B22-1</f>
        <v/>
      </c>
      <c r="D23" s="20">
        <f>IF(C23&gt;=10%,1,0)</f>
        <v/>
      </c>
      <c r="E23" s="20">
        <f>COUNTIFS('Supplier Signals'!$P$2:$P$100,A23,'Supplier Signals'!$F$2:$F$100,"Upstream physical")</f>
        <v/>
      </c>
      <c r="F23" s="20">
        <f>COUNTIFS('Supplier Signals'!$P$2:$P$100,A23,'Supplier Signals'!$F$2:$F$100,"&lt;&gt;Upstream physical")</f>
        <v/>
      </c>
      <c r="G23" s="21" t="inlineStr">
        <is>
          <t>https://www.statmuse.com/money/ask?q=soxx+returns+2011-2024</t>
        </is>
      </c>
    </row>
    <row r="24">
      <c r="A24" s="18" t="n">
        <v>45566</v>
      </c>
      <c r="B24" s="19" t="n">
        <v>216.15</v>
      </c>
      <c r="C24" s="22">
        <f>B24/B23-1</f>
        <v/>
      </c>
      <c r="D24" s="20">
        <f>IF(C24&gt;=10%,1,0)</f>
        <v/>
      </c>
      <c r="E24" s="20">
        <f>COUNTIFS('Supplier Signals'!$P$2:$P$100,A24,'Supplier Signals'!$F$2:$F$100,"Upstream physical")</f>
        <v/>
      </c>
      <c r="F24" s="20">
        <f>COUNTIFS('Supplier Signals'!$P$2:$P$100,A24,'Supplier Signals'!$F$2:$F$100,"&lt;&gt;Upstream physical")</f>
        <v/>
      </c>
      <c r="G24" s="21" t="inlineStr">
        <is>
          <t>https://www.statmuse.com/money/ask?q=soxx+returns+2011-2024</t>
        </is>
      </c>
    </row>
    <row r="25">
      <c r="A25" s="18" t="n">
        <v>45597</v>
      </c>
      <c r="B25" s="19" t="n">
        <v>213.32</v>
      </c>
      <c r="C25" s="22">
        <f>B25/B24-1</f>
        <v/>
      </c>
      <c r="D25" s="20">
        <f>IF(C25&gt;=10%,1,0)</f>
        <v/>
      </c>
      <c r="E25" s="20">
        <f>COUNTIFS('Supplier Signals'!$P$2:$P$100,A25,'Supplier Signals'!$F$2:$F$100,"Upstream physical")</f>
        <v/>
      </c>
      <c r="F25" s="20">
        <f>COUNTIFS('Supplier Signals'!$P$2:$P$100,A25,'Supplier Signals'!$F$2:$F$100,"&lt;&gt;Upstream physical")</f>
        <v/>
      </c>
      <c r="G25" s="21" t="inlineStr">
        <is>
          <t>https://www.statmuse.com/money/ask?q=soxx+returns+2011-2024</t>
        </is>
      </c>
    </row>
    <row r="26">
      <c r="A26" s="18" t="n">
        <v>45627</v>
      </c>
      <c r="B26" s="19" t="n">
        <v>213.75</v>
      </c>
      <c r="C26" s="22">
        <f>B26/B25-1</f>
        <v/>
      </c>
      <c r="D26" s="20">
        <f>IF(C26&gt;=10%,1,0)</f>
        <v/>
      </c>
      <c r="E26" s="20">
        <f>COUNTIFS('Supplier Signals'!$P$2:$P$100,A26,'Supplier Signals'!$F$2:$F$100,"Upstream physical")</f>
        <v/>
      </c>
      <c r="F26" s="20">
        <f>COUNTIFS('Supplier Signals'!$P$2:$P$100,A26,'Supplier Signals'!$F$2:$F$100,"&lt;&gt;Upstream physical")</f>
        <v/>
      </c>
      <c r="G26" s="21" t="inlineStr">
        <is>
          <t>https://www.statmuse.com/money/ask/soxx-return-from-2020-to-2025</t>
        </is>
      </c>
    </row>
    <row r="27">
      <c r="A27" s="18" t="n">
        <v>45658</v>
      </c>
      <c r="B27" s="19" t="n">
        <v>216.37</v>
      </c>
      <c r="C27" s="22">
        <f>B27/B26-1</f>
        <v/>
      </c>
      <c r="D27" s="20">
        <f>IF(C27&gt;=10%,1,0)</f>
        <v/>
      </c>
      <c r="E27" s="20">
        <f>COUNTIFS('Supplier Signals'!$P$2:$P$100,A27,'Supplier Signals'!$F$2:$F$100,"Upstream physical")</f>
        <v/>
      </c>
      <c r="F27" s="20">
        <f>COUNTIFS('Supplier Signals'!$P$2:$P$100,A27,'Supplier Signals'!$F$2:$F$100,"&lt;&gt;Upstream physical")</f>
        <v/>
      </c>
      <c r="G27" s="21" t="inlineStr">
        <is>
          <t>https://www.statmuse.com/money/ask/soxx-return-from-2020-to-2025</t>
        </is>
      </c>
    </row>
    <row r="28">
      <c r="A28" s="18" t="n">
        <v>45689</v>
      </c>
      <c r="B28" s="19" t="n">
        <v>206.83</v>
      </c>
      <c r="C28" s="22">
        <f>B28/B27-1</f>
        <v/>
      </c>
      <c r="D28" s="20">
        <f>IF(C28&gt;=10%,1,0)</f>
        <v/>
      </c>
      <c r="E28" s="20">
        <f>COUNTIFS('Supplier Signals'!$P$2:$P$100,A28,'Supplier Signals'!$F$2:$F$100,"Upstream physical")</f>
        <v/>
      </c>
      <c r="F28" s="20">
        <f>COUNTIFS('Supplier Signals'!$P$2:$P$100,A28,'Supplier Signals'!$F$2:$F$100,"&lt;&gt;Upstream physical")</f>
        <v/>
      </c>
      <c r="G28" s="21" t="inlineStr">
        <is>
          <t>https://www.statmuse.com/money/ask/soxx-return-from-2020-to-2025</t>
        </is>
      </c>
    </row>
    <row r="29">
      <c r="A29" s="18" t="n">
        <v>45717</v>
      </c>
      <c r="B29" s="19" t="n">
        <v>186.89</v>
      </c>
      <c r="C29" s="22">
        <f>B29/B28-1</f>
        <v/>
      </c>
      <c r="D29" s="20">
        <f>IF(C29&gt;=10%,1,0)</f>
        <v/>
      </c>
      <c r="E29" s="20">
        <f>COUNTIFS('Supplier Signals'!$P$2:$P$100,A29,'Supplier Signals'!$F$2:$F$100,"Upstream physical")</f>
        <v/>
      </c>
      <c r="F29" s="20">
        <f>COUNTIFS('Supplier Signals'!$P$2:$P$100,A29,'Supplier Signals'!$F$2:$F$100,"&lt;&gt;Upstream physical")</f>
        <v/>
      </c>
      <c r="G29" s="21" t="inlineStr">
        <is>
          <t>https://www.statmuse.com/money/ask/soxx-return-from-2020-to-2025</t>
        </is>
      </c>
    </row>
    <row r="30">
      <c r="A30" s="18" t="n">
        <v>45748</v>
      </c>
      <c r="B30" s="19" t="n">
        <v>182.59</v>
      </c>
      <c r="C30" s="22">
        <f>B30/B29-1</f>
        <v/>
      </c>
      <c r="D30" s="20">
        <f>IF(C30&gt;=10%,1,0)</f>
        <v/>
      </c>
      <c r="E30" s="20">
        <f>COUNTIFS('Supplier Signals'!$P$2:$P$100,A30,'Supplier Signals'!$F$2:$F$100,"Upstream physical")</f>
        <v/>
      </c>
      <c r="F30" s="20">
        <f>COUNTIFS('Supplier Signals'!$P$2:$P$100,A30,'Supplier Signals'!$F$2:$F$100,"&lt;&gt;Upstream physical")</f>
        <v/>
      </c>
      <c r="G30" s="21" t="inlineStr">
        <is>
          <t>https://www.statmuse.com/money/ask/soxx-return-from-2020-to-2025</t>
        </is>
      </c>
    </row>
    <row r="31">
      <c r="A31" s="18" t="n">
        <v>45778</v>
      </c>
      <c r="B31" s="19" t="n">
        <v>203.54</v>
      </c>
      <c r="C31" s="22">
        <f>B31/B30-1</f>
        <v/>
      </c>
      <c r="D31" s="20">
        <f>IF(C31&gt;=10%,1,0)</f>
        <v/>
      </c>
      <c r="E31" s="20">
        <f>COUNTIFS('Supplier Signals'!$P$2:$P$100,A31,'Supplier Signals'!$F$2:$F$100,"Upstream physical")</f>
        <v/>
      </c>
      <c r="F31" s="20">
        <f>COUNTIFS('Supplier Signals'!$P$2:$P$100,A31,'Supplier Signals'!$F$2:$F$100,"&lt;&gt;Upstream physical")</f>
        <v/>
      </c>
      <c r="G31" s="21" t="inlineStr">
        <is>
          <t>https://www.statmuse.com/money/ask/soxx-return-from-2020-to-2025</t>
        </is>
      </c>
    </row>
    <row r="32">
      <c r="A32" s="18" t="n">
        <v>45809</v>
      </c>
      <c r="B32" s="19" t="n">
        <v>237.59</v>
      </c>
      <c r="C32" s="22">
        <f>B32/B31-1</f>
        <v/>
      </c>
      <c r="D32" s="20">
        <f>IF(C32&gt;=10%,1,0)</f>
        <v/>
      </c>
      <c r="E32" s="20">
        <f>COUNTIFS('Supplier Signals'!$P$2:$P$100,A32,'Supplier Signals'!$F$2:$F$100,"Upstream physical")</f>
        <v/>
      </c>
      <c r="F32" s="20">
        <f>COUNTIFS('Supplier Signals'!$P$2:$P$100,A32,'Supplier Signals'!$F$2:$F$100,"&lt;&gt;Upstream physical")</f>
        <v/>
      </c>
      <c r="G32" s="21" t="inlineStr">
        <is>
          <t>https://www.statmuse.com/money/ask/soxx-return-from-2020-to-2025</t>
        </is>
      </c>
    </row>
    <row r="33">
      <c r="A33" s="18" t="n">
        <v>45839</v>
      </c>
      <c r="B33" s="19" t="n">
        <v>238.92</v>
      </c>
      <c r="C33" s="22">
        <f>B33/B32-1</f>
        <v/>
      </c>
      <c r="D33" s="20">
        <f>IF(C33&gt;=10%,1,0)</f>
        <v/>
      </c>
      <c r="E33" s="20">
        <f>COUNTIFS('Supplier Signals'!$P$2:$P$100,A33,'Supplier Signals'!$F$2:$F$100,"Upstream physical")</f>
        <v/>
      </c>
      <c r="F33" s="20">
        <f>COUNTIFS('Supplier Signals'!$P$2:$P$100,A33,'Supplier Signals'!$F$2:$F$100,"&lt;&gt;Upstream physical")</f>
        <v/>
      </c>
      <c r="G33" s="21" t="inlineStr">
        <is>
          <t>https://www.statmuse.com/money/ask/soxx-return-from-2020-to-2025</t>
        </is>
      </c>
    </row>
    <row r="34">
      <c r="A34" s="18" t="n">
        <v>45870</v>
      </c>
      <c r="B34" s="19" t="n">
        <v>244.18</v>
      </c>
      <c r="C34" s="22">
        <f>B34/B33-1</f>
        <v/>
      </c>
      <c r="D34" s="20">
        <f>IF(C34&gt;=10%,1,0)</f>
        <v/>
      </c>
      <c r="E34" s="20">
        <f>COUNTIFS('Supplier Signals'!$P$2:$P$100,A34,'Supplier Signals'!$F$2:$F$100,"Upstream physical")</f>
        <v/>
      </c>
      <c r="F34" s="20">
        <f>COUNTIFS('Supplier Signals'!$P$2:$P$100,A34,'Supplier Signals'!$F$2:$F$100,"&lt;&gt;Upstream physical")</f>
        <v/>
      </c>
      <c r="G34" s="21" t="inlineStr">
        <is>
          <t>https://www.statmuse.com/money/ask/soxx-return-from-2020-to-2025</t>
        </is>
      </c>
    </row>
    <row r="35">
      <c r="A35" s="18" t="n">
        <v>45901</v>
      </c>
      <c r="B35" s="19" t="n">
        <v>270.43</v>
      </c>
      <c r="C35" s="22">
        <f>B35/B34-1</f>
        <v/>
      </c>
      <c r="D35" s="20">
        <f>IF(C35&gt;=10%,1,0)</f>
        <v/>
      </c>
      <c r="E35" s="20">
        <f>COUNTIFS('Supplier Signals'!$P$2:$P$100,A35,'Supplier Signals'!$F$2:$F$100,"Upstream physical")</f>
        <v/>
      </c>
      <c r="F35" s="20">
        <f>COUNTIFS('Supplier Signals'!$P$2:$P$100,A35,'Supplier Signals'!$F$2:$F$100,"&lt;&gt;Upstream physical")</f>
        <v/>
      </c>
      <c r="G35" s="21" t="inlineStr">
        <is>
          <t>https://www.statmuse.com/money/ask/soxx-return-from-2020-to-2025</t>
        </is>
      </c>
    </row>
    <row r="36">
      <c r="A36" s="18" t="n">
        <v>45931</v>
      </c>
      <c r="B36" s="19" t="n">
        <v>305.77</v>
      </c>
      <c r="C36" s="22">
        <f>B36/B35-1</f>
        <v/>
      </c>
      <c r="D36" s="20">
        <f>IF(C36&gt;=10%,1,0)</f>
        <v/>
      </c>
      <c r="E36" s="20">
        <f>COUNTIFS('Supplier Signals'!$P$2:$P$100,A36,'Supplier Signals'!$F$2:$F$100,"Upstream physical")</f>
        <v/>
      </c>
      <c r="F36" s="20">
        <f>COUNTIFS('Supplier Signals'!$P$2:$P$100,A36,'Supplier Signals'!$F$2:$F$100,"&lt;&gt;Upstream physical")</f>
        <v/>
      </c>
      <c r="G36" s="21" t="inlineStr">
        <is>
          <t>https://www.statmuse.com/money/ask/soxx-return-from-2020-to-2025</t>
        </is>
      </c>
    </row>
    <row r="37">
      <c r="A37" s="18" t="n">
        <v>45962</v>
      </c>
      <c r="B37" s="19" t="n">
        <v>295.98</v>
      </c>
      <c r="C37" s="22">
        <f>B37/B36-1</f>
        <v/>
      </c>
      <c r="D37" s="20">
        <f>IF(C37&gt;=10%,1,0)</f>
        <v/>
      </c>
      <c r="E37" s="20">
        <f>COUNTIFS('Supplier Signals'!$P$2:$P$100,A37,'Supplier Signals'!$F$2:$F$100,"Upstream physical")</f>
        <v/>
      </c>
      <c r="F37" s="20">
        <f>COUNTIFS('Supplier Signals'!$P$2:$P$100,A37,'Supplier Signals'!$F$2:$F$100,"&lt;&gt;Upstream physical")</f>
        <v/>
      </c>
      <c r="G37" s="21" t="inlineStr">
        <is>
          <t>https://www.statmuse.com/money/ask/soxx-return-from-2020-to-2025</t>
        </is>
      </c>
    </row>
    <row r="38">
      <c r="A38" s="18" t="n">
        <v>45992</v>
      </c>
      <c r="B38" s="19" t="n">
        <v>300.82</v>
      </c>
      <c r="C38" s="22">
        <f>B38/B37-1</f>
        <v/>
      </c>
      <c r="D38" s="20">
        <f>IF(C38&gt;=10%,1,0)</f>
        <v/>
      </c>
      <c r="E38" s="20">
        <f>COUNTIFS('Supplier Signals'!$P$2:$P$100,A38,'Supplier Signals'!$F$2:$F$100,"Upstream physical")</f>
        <v/>
      </c>
      <c r="F38" s="20">
        <f>COUNTIFS('Supplier Signals'!$P$2:$P$100,A38,'Supplier Signals'!$F$2:$F$100,"&lt;&gt;Upstream physical")</f>
        <v/>
      </c>
      <c r="G38" s="21" t="inlineStr">
        <is>
          <t>https://www.statmuse.com/money/ask/soxx-return-from-2020-to-2025</t>
        </is>
      </c>
    </row>
    <row r="39">
      <c r="A39" s="18" t="n">
        <v>46023</v>
      </c>
      <c r="B39" s="19" t="n">
        <v>345.92</v>
      </c>
      <c r="C39" s="22">
        <f>B39/B38-1</f>
        <v/>
      </c>
      <c r="D39" s="20">
        <f>IF(C39&gt;=10%,1,0)</f>
        <v/>
      </c>
      <c r="E39" s="20">
        <f>COUNTIFS('Supplier Signals'!$P$2:$P$100,A39,'Supplier Signals'!$F$2:$F$100,"Upstream physical")</f>
        <v/>
      </c>
      <c r="F39" s="20">
        <f>COUNTIFS('Supplier Signals'!$P$2:$P$100,A39,'Supplier Signals'!$F$2:$F$100,"&lt;&gt;Upstream physical")</f>
        <v/>
      </c>
      <c r="G39" s="21" t="inlineStr">
        <is>
          <t>https://www.statmuse.com/money/ask?q=What%27s+the+all-time+high+for+SOXX%3F</t>
        </is>
      </c>
    </row>
    <row r="40">
      <c r="A40" s="18" t="n">
        <v>46054</v>
      </c>
      <c r="B40" s="19" t="n">
        <v>351.91</v>
      </c>
      <c r="C40" s="22">
        <f>B40/B39-1</f>
        <v/>
      </c>
      <c r="D40" s="20">
        <f>IF(C40&gt;=10%,1,0)</f>
        <v/>
      </c>
      <c r="E40" s="20">
        <f>COUNTIFS('Supplier Signals'!$P$2:$P$100,A40,'Supplier Signals'!$F$2:$F$100,"Upstream physical")</f>
        <v/>
      </c>
      <c r="F40" s="20">
        <f>COUNTIFS('Supplier Signals'!$P$2:$P$100,A40,'Supplier Signals'!$F$2:$F$100,"&lt;&gt;Upstream physical")</f>
        <v/>
      </c>
      <c r="G40" s="21" t="inlineStr">
        <is>
          <t>https://www.statmuse.com/money/ask?q=What%27s+the+all-time+high+for+SOXX%3F</t>
        </is>
      </c>
    </row>
    <row r="41">
      <c r="A41" s="18" t="n">
        <v>46082</v>
      </c>
      <c r="B41" s="19" t="n">
        <v>328.5</v>
      </c>
      <c r="C41" s="22">
        <f>B41/B40-1</f>
        <v/>
      </c>
      <c r="D41" s="20">
        <f>IF(C41&gt;=10%,1,0)</f>
        <v/>
      </c>
      <c r="E41" s="20">
        <f>COUNTIFS('Supplier Signals'!$P$2:$P$100,A41,'Supplier Signals'!$F$2:$F$100,"Upstream physical")</f>
        <v/>
      </c>
      <c r="F41" s="20">
        <f>COUNTIFS('Supplier Signals'!$P$2:$P$100,A41,'Supplier Signals'!$F$2:$F$100,"&lt;&gt;Upstream physical")</f>
        <v/>
      </c>
      <c r="G41" s="21" t="inlineStr">
        <is>
          <t>https://www.statmuse.com/money/ask?q=What%27s+the+all-time+high+for+SOXX%3F</t>
        </is>
      </c>
    </row>
    <row r="42">
      <c r="A42" s="18" t="n">
        <v>46113</v>
      </c>
      <c r="B42" s="19" t="n">
        <v>461.22</v>
      </c>
      <c r="C42" s="22">
        <f>B42/B41-1</f>
        <v/>
      </c>
      <c r="D42" s="20">
        <f>IF(C42&gt;=10%,1,0)</f>
        <v/>
      </c>
      <c r="E42" s="20">
        <f>COUNTIFS('Supplier Signals'!$P$2:$P$100,A42,'Supplier Signals'!$F$2:$F$100,"Upstream physical")</f>
        <v/>
      </c>
      <c r="F42" s="20">
        <f>COUNTIFS('Supplier Signals'!$P$2:$P$100,A42,'Supplier Signals'!$F$2:$F$100,"&lt;&gt;Upstream physical")</f>
        <v/>
      </c>
      <c r="G42" s="21" t="inlineStr">
        <is>
          <t>https://www.statmuse.com/money/ask?q=What%27s+the+all-time+high+for+SOXX%3F</t>
        </is>
      </c>
    </row>
    <row r="43">
      <c r="A43" s="18" t="n">
        <v>46143</v>
      </c>
      <c r="B43" s="19" t="n">
        <v>568.8099999999999</v>
      </c>
      <c r="C43" s="22">
        <f>B43/B42-1</f>
        <v/>
      </c>
      <c r="D43" s="20">
        <f>IF(C43&gt;=10%,1,0)</f>
        <v/>
      </c>
      <c r="E43" s="20">
        <f>COUNTIFS('Supplier Signals'!$P$2:$P$100,A43,'Supplier Signals'!$F$2:$F$100,"Upstream physical")</f>
        <v/>
      </c>
      <c r="F43" s="20">
        <f>COUNTIFS('Supplier Signals'!$P$2:$P$100,A43,'Supplier Signals'!$F$2:$F$100,"&lt;&gt;Upstream physical")</f>
        <v/>
      </c>
      <c r="G43" s="21" t="inlineStr">
        <is>
          <t>https://www.statmuse.com/money/ask?q=What%27s+the+all-time+high+for+SOXX%3F</t>
        </is>
      </c>
    </row>
    <row r="44">
      <c r="A44" s="18" t="n">
        <v>46174</v>
      </c>
      <c r="B44" s="19" t="n">
        <v>640.76</v>
      </c>
      <c r="C44" s="22">
        <f>B44/B43-1</f>
        <v/>
      </c>
      <c r="D44" s="20">
        <f>IF(C44&gt;=10%,1,0)</f>
        <v/>
      </c>
      <c r="E44" s="20">
        <f>COUNTIFS('Supplier Signals'!$P$2:$P$100,A44,'Supplier Signals'!$F$2:$F$100,"Upstream physical")</f>
        <v/>
      </c>
      <c r="F44" s="20">
        <f>COUNTIFS('Supplier Signals'!$P$2:$P$100,A44,'Supplier Signals'!$F$2:$F$100,"&lt;&gt;Upstream physical")</f>
        <v/>
      </c>
      <c r="G44" s="21" t="inlineStr">
        <is>
          <t>https://www.statmuse.com/money/ask?q=What%27s+the+all-time+high+for+SOXX%3F</t>
        </is>
      </c>
    </row>
    <row r="45">
      <c r="A45" s="18" t="n">
        <v>46204</v>
      </c>
      <c r="B45" s="19" t="n">
        <v>504.89</v>
      </c>
      <c r="C45" s="22">
        <f>B45/B44-1</f>
        <v/>
      </c>
      <c r="D45" s="20">
        <f>IF(C45&gt;=10%,1,0)</f>
        <v/>
      </c>
      <c r="E45" s="20">
        <f>COUNTIFS('Supplier Signals'!$P$2:$P$100,A45,'Supplier Signals'!$F$2:$F$100,"Upstream physical")</f>
        <v/>
      </c>
      <c r="F45" s="20">
        <f>COUNTIFS('Supplier Signals'!$P$2:$P$100,A45,'Supplier Signals'!$F$2:$F$100,"&lt;&gt;Upstream physical")</f>
        <v/>
      </c>
      <c r="G45" s="21" t="inlineStr">
        <is>
          <t>https://www.statmuse.com/money/ask?q=What%27s+the+all-time+high+for+SOXX%3F</t>
        </is>
      </c>
    </row>
    <row r="46">
      <c r="A46" s="18" t="n">
        <v>46235</v>
      </c>
      <c r="B46" s="19" t="n">
        <v>511.04</v>
      </c>
      <c r="C46" s="22">
        <f>B46/B45-1</f>
        <v/>
      </c>
      <c r="D46" s="20">
        <f>IF(C46&gt;=10%,1,0)</f>
        <v/>
      </c>
      <c r="E46" s="20">
        <f>COUNTIFS('Supplier Signals'!$P$2:$P$100,A46,'Supplier Signals'!$F$2:$F$100,"Upstream physical")</f>
        <v/>
      </c>
      <c r="F46" s="20">
        <f>COUNTIFS('Supplier Signals'!$P$2:$P$100,A46,'Supplier Signals'!$F$2:$F$100,"&lt;&gt;Upstream physical")</f>
        <v/>
      </c>
      <c r="G46" s="21" t="inlineStr">
        <is>
          <t>https://www.statmuse.com/money/ask?q=What%27s+the+all-time+high+for+SOXX%3F</t>
        </is>
      </c>
    </row>
  </sheetData>
  <conditionalFormatting sqref="C3:C46">
    <cfRule type="colorScale" priority="1">
      <colorScale>
        <cfvo type="num" val="-0.2"/>
        <cfvo type="num" val="0"/>
        <cfvo type="num" val="0.3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D6B656"/>
    <outlinePr summaryBelow="1" summaryRight="1"/>
    <pageSetUpPr fitToPage="1"/>
  </sheetPr>
  <dimension ref="A1:X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1" customWidth="1" min="4" max="4"/>
    <col width="20" customWidth="1" min="5" max="5"/>
    <col width="24" customWidth="1" min="6" max="6"/>
    <col width="10" customWidth="1" min="7" max="7"/>
    <col width="18" customWidth="1" min="8" max="8"/>
    <col width="48" customWidth="1" min="9" max="9"/>
    <col width="38" customWidth="1" min="10" max="10"/>
    <col width="15" customWidth="1" min="11" max="11"/>
    <col width="26" customWidth="1" min="12" max="12"/>
    <col width="18" customWidth="1" min="13" max="13"/>
    <col width="18" customWidth="1" min="14" max="14"/>
    <col width="58" customWidth="1" min="15" max="15"/>
    <col width="12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8" customWidth="1" min="22" max="22"/>
    <col width="18" customWidth="1" min="23" max="23"/>
    <col width="45" customWidth="1" min="24" max="24"/>
  </cols>
  <sheetData>
    <row r="1" ht="38" customHeight="1">
      <c r="A1" s="4" t="inlineStr">
        <is>
          <t>ID</t>
        </is>
      </c>
      <c r="B1" s="4" t="inlineStr">
        <is>
          <t>Event Date</t>
        </is>
      </c>
      <c r="C1" s="4" t="inlineStr">
        <is>
          <t>Company</t>
        </is>
      </c>
      <c r="D1" s="4" t="inlineStr">
        <is>
          <t>Ticker</t>
        </is>
      </c>
      <c r="E1" s="4" t="inlineStr">
        <is>
          <t>Layer</t>
        </is>
      </c>
      <c r="F1" s="4" t="inlineStr">
        <is>
          <t>Signal Type</t>
        </is>
      </c>
      <c r="G1" s="4" t="inlineStr">
        <is>
          <t>Backtest?</t>
        </is>
      </c>
      <c r="H1" s="4" t="inlineStr">
        <is>
          <t>Regime</t>
        </is>
      </c>
      <c r="I1" s="4" t="inlineStr">
        <is>
          <t>Event / Metric</t>
        </is>
      </c>
      <c r="J1" s="4" t="inlineStr">
        <is>
          <t>Magnitude</t>
        </is>
      </c>
      <c r="K1" s="4" t="inlineStr">
        <is>
          <t>Confidence (1-5)</t>
        </is>
      </c>
      <c r="L1" s="4" t="inlineStr">
        <is>
          <t>Clock Stage</t>
        </is>
      </c>
      <c r="M1" s="4" t="inlineStr">
        <is>
          <t>Lead to Chip Rev Min (mo)</t>
        </is>
      </c>
      <c r="N1" s="4" t="inlineStr">
        <is>
          <t>Lead to Chip Rev Max (mo)</t>
        </is>
      </c>
      <c r="O1" s="4" t="inlineStr">
        <is>
          <t>Source URL</t>
        </is>
      </c>
      <c r="P1" s="4" t="inlineStr">
        <is>
          <t>Event Month</t>
        </is>
      </c>
      <c r="Q1" s="4" t="inlineStr">
        <is>
          <t>SOXX Event Close</t>
        </is>
      </c>
      <c r="R1" s="4" t="inlineStr">
        <is>
          <t>1M Fwd</t>
        </is>
      </c>
      <c r="S1" s="4" t="inlineStr">
        <is>
          <t>3M Fwd</t>
        </is>
      </c>
      <c r="T1" s="4" t="inlineStr">
        <is>
          <t>6M Fwd</t>
        </is>
      </c>
      <c r="U1" s="4" t="inlineStr">
        <is>
          <t>9M Fwd</t>
        </is>
      </c>
      <c r="V1" s="4" t="inlineStr">
        <is>
          <t>Next &gt;=10% SOXX Month</t>
        </is>
      </c>
      <c r="W1" s="4" t="inlineStr">
        <is>
          <t>Months to Next &gt;=10%</t>
        </is>
      </c>
      <c r="X1" s="4" t="inlineStr">
        <is>
          <t>Interpretation</t>
        </is>
      </c>
    </row>
    <row r="2">
      <c r="A2" s="15" t="n">
        <v>1</v>
      </c>
      <c r="B2" s="23" t="n">
        <v>44965</v>
      </c>
      <c r="C2" s="24" t="inlineStr">
        <is>
          <t>Eaton</t>
        </is>
      </c>
      <c r="D2" s="24" t="inlineStr">
        <is>
          <t>ETN</t>
        </is>
      </c>
      <c r="E2" s="24" t="inlineStr">
        <is>
          <t>Electrical</t>
        </is>
      </c>
      <c r="F2" s="24" t="inlineStr">
        <is>
          <t>Upstream physical</t>
        </is>
      </c>
      <c r="G2" s="25" t="n">
        <v>1</v>
      </c>
      <c r="H2" s="24" t="inlineStr">
        <is>
          <t>Demand-led</t>
        </is>
      </c>
      <c r="I2" s="24" t="inlineStr">
        <is>
          <t>Electrical Americas orders/backlog surge with explicit data-center strength</t>
        </is>
      </c>
      <c r="J2" s="24" t="inlineStr">
        <is>
          <t>Orders +34% TTM; backlog +87% YoY</t>
        </is>
      </c>
      <c r="K2" s="26" t="n">
        <v>4</v>
      </c>
      <c r="L2" s="27" t="inlineStr">
        <is>
          <t>Electrical / power distribution</t>
        </is>
      </c>
      <c r="M2" s="27" t="n">
        <v>3</v>
      </c>
      <c r="N2" s="27" t="n">
        <v>12</v>
      </c>
      <c r="O2" s="28" t="inlineStr">
        <is>
          <t>https://www.eaton.com/us/en-us/company/news-insights/news-releases/2023/eaton-reports-record-fourth-quarter-2022-results.html</t>
        </is>
      </c>
      <c r="P2" s="29">
        <f>DATE(YEAR(B2),MONTH(B2),1)</f>
        <v/>
      </c>
      <c r="Q2" s="30">
        <f>IFERROR(INDEX('Market Data'!$B$2:$B$60,MATCH(P2,'Market Data'!$A$2:$A$60,0)),"")</f>
        <v/>
      </c>
      <c r="R2" s="31">
        <f>IFERROR(INDEX('Market Data'!$B$2:$B$60,MATCH(EDATE(P2,1),'Market Data'!$A$2:$A$60,0))/Q2-1,"")</f>
        <v/>
      </c>
      <c r="S2" s="31">
        <f>IFERROR(INDEX('Market Data'!$B$2:$B$60,MATCH(EDATE(P2,3),'Market Data'!$A$2:$A$60,0))/Q2-1,"")</f>
        <v/>
      </c>
      <c r="T2" s="31">
        <f>IFERROR(INDEX('Market Data'!$B$2:$B$60,MATCH(EDATE(P2,6),'Market Data'!$A$2:$A$60,0))/Q2-1,"")</f>
        <v/>
      </c>
      <c r="U2" s="31">
        <f>IFERROR(INDEX('Market Data'!$B$2:$B$60,MATCH(EDATE(P2,9),'Market Data'!$A$2:$A$60,0))/Q2-1,"")</f>
        <v/>
      </c>
      <c r="V2" s="29">
        <f>IFERROR(MINIFS('Market Data'!$A$2:$A$60,'Market Data'!$A$2:$A$60,"&gt;"&amp;P2,'Market Data'!$D$2:$D$60,1),"")</f>
        <v/>
      </c>
      <c r="W2" s="32">
        <f>IF(V2="","",DATEDIF(P2,V2,"m"))</f>
        <v/>
      </c>
      <c r="X2" s="33" t="inlineStr">
        <is>
          <t>Historical upstream signal; often concurrent rather than leading in demand-led phase.</t>
        </is>
      </c>
    </row>
    <row r="3">
      <c r="A3" s="15" t="n">
        <v>2</v>
      </c>
      <c r="B3" s="23" t="n">
        <v>45224</v>
      </c>
      <c r="C3" s="24" t="inlineStr">
        <is>
          <t>Vertiv</t>
        </is>
      </c>
      <c r="D3" s="24" t="inlineStr">
        <is>
          <t>VRT</t>
        </is>
      </c>
      <c r="E3" s="24" t="inlineStr">
        <is>
          <t>Cooling / power</t>
        </is>
      </c>
      <c r="F3" s="24" t="inlineStr">
        <is>
          <t>Upstream physical</t>
        </is>
      </c>
      <c r="G3" s="25" t="n">
        <v>1</v>
      </c>
      <c r="H3" s="24" t="inlineStr">
        <is>
          <t>Demand-led</t>
        </is>
      </c>
      <c r="I3" s="24" t="inlineStr">
        <is>
          <t>Q3 critical-infrastructure orders and backlog rise</t>
        </is>
      </c>
      <c r="J3" s="24" t="inlineStr">
        <is>
          <t>Orders +11% YoY; backlog $5.0B</t>
        </is>
      </c>
      <c r="K3" s="26" t="n">
        <v>4</v>
      </c>
      <c r="L3" s="27" t="inlineStr">
        <is>
          <t>Cooling / UPS / power</t>
        </is>
      </c>
      <c r="M3" s="27" t="n">
        <v>3</v>
      </c>
      <c r="N3" s="27" t="n">
        <v>12</v>
      </c>
      <c r="O3" s="28" t="inlineStr">
        <is>
          <t>https://investors.vertiv.com/news/news-details/2023/Vertiv-Reports-Strong-Third-Quarter-Results-and-Raises-Full-Year-2023-Outlook/default.aspx</t>
        </is>
      </c>
      <c r="P3" s="29">
        <f>DATE(YEAR(B3),MONTH(B3),1)</f>
        <v/>
      </c>
      <c r="Q3" s="30">
        <f>IFERROR(INDEX('Market Data'!$B$2:$B$60,MATCH(P3,'Market Data'!$A$2:$A$60,0)),"")</f>
        <v/>
      </c>
      <c r="R3" s="31">
        <f>IFERROR(INDEX('Market Data'!$B$2:$B$60,MATCH(EDATE(P3,1),'Market Data'!$A$2:$A$60,0))/Q3-1,"")</f>
        <v/>
      </c>
      <c r="S3" s="31">
        <f>IFERROR(INDEX('Market Data'!$B$2:$B$60,MATCH(EDATE(P3,3),'Market Data'!$A$2:$A$60,0))/Q3-1,"")</f>
        <v/>
      </c>
      <c r="T3" s="31">
        <f>IFERROR(INDEX('Market Data'!$B$2:$B$60,MATCH(EDATE(P3,6),'Market Data'!$A$2:$A$60,0))/Q3-1,"")</f>
        <v/>
      </c>
      <c r="U3" s="31">
        <f>IFERROR(INDEX('Market Data'!$B$2:$B$60,MATCH(EDATE(P3,9),'Market Data'!$A$2:$A$60,0))/Q3-1,"")</f>
        <v/>
      </c>
      <c r="V3" s="29">
        <f>IFERROR(MINIFS('Market Data'!$A$2:$A$60,'Market Data'!$A$2:$A$60,"&gt;"&amp;P3,'Market Data'!$D$2:$D$60,1),"")</f>
        <v/>
      </c>
      <c r="W3" s="32">
        <f>IF(V3="","",DATEDIF(P3,V3,"m"))</f>
        <v/>
      </c>
      <c r="X3" s="33" t="inlineStr">
        <is>
          <t>Historical upstream signal; often concurrent rather than leading in demand-led phase.</t>
        </is>
      </c>
    </row>
    <row r="4">
      <c r="A4" s="15" t="n">
        <v>3</v>
      </c>
      <c r="B4" s="23" t="n">
        <v>45343</v>
      </c>
      <c r="C4" s="24" t="inlineStr">
        <is>
          <t>Vertiv</t>
        </is>
      </c>
      <c r="D4" s="24" t="inlineStr">
        <is>
          <t>VRT</t>
        </is>
      </c>
      <c r="E4" s="24" t="inlineStr">
        <is>
          <t>Cooling / power</t>
        </is>
      </c>
      <c r="F4" s="24" t="inlineStr">
        <is>
          <t>Upstream physical</t>
        </is>
      </c>
      <c r="G4" s="25" t="n">
        <v>1</v>
      </c>
      <c r="H4" s="24" t="inlineStr">
        <is>
          <t>Demand-led</t>
        </is>
      </c>
      <c r="I4" s="24" t="inlineStr">
        <is>
          <t>Q4 critical-infrastructure orders accelerate</t>
        </is>
      </c>
      <c r="J4" s="24" t="inlineStr">
        <is>
          <t>Orders +23% YoY; book-to-bill 1.3x; backlog $5.5B</t>
        </is>
      </c>
      <c r="K4" s="26" t="n">
        <v>4</v>
      </c>
      <c r="L4" s="27" t="inlineStr">
        <is>
          <t>Cooling / UPS / power</t>
        </is>
      </c>
      <c r="M4" s="27" t="n">
        <v>3</v>
      </c>
      <c r="N4" s="27" t="n">
        <v>12</v>
      </c>
      <c r="O4" s="28" t="inlineStr">
        <is>
          <t>https://investors.vertiv.com/news/news-details/2024/Vertiv-Reports-Strong-Fourth-Quarter-Results-and-Provides-Full-Year-2024-Outlook/default.aspx</t>
        </is>
      </c>
      <c r="P4" s="29">
        <f>DATE(YEAR(B4),MONTH(B4),1)</f>
        <v/>
      </c>
      <c r="Q4" s="30">
        <f>IFERROR(INDEX('Market Data'!$B$2:$B$60,MATCH(P4,'Market Data'!$A$2:$A$60,0)),"")</f>
        <v/>
      </c>
      <c r="R4" s="31">
        <f>IFERROR(INDEX('Market Data'!$B$2:$B$60,MATCH(EDATE(P4,1),'Market Data'!$A$2:$A$60,0))/Q4-1,"")</f>
        <v/>
      </c>
      <c r="S4" s="31">
        <f>IFERROR(INDEX('Market Data'!$B$2:$B$60,MATCH(EDATE(P4,3),'Market Data'!$A$2:$A$60,0))/Q4-1,"")</f>
        <v/>
      </c>
      <c r="T4" s="31">
        <f>IFERROR(INDEX('Market Data'!$B$2:$B$60,MATCH(EDATE(P4,6),'Market Data'!$A$2:$A$60,0))/Q4-1,"")</f>
        <v/>
      </c>
      <c r="U4" s="31">
        <f>IFERROR(INDEX('Market Data'!$B$2:$B$60,MATCH(EDATE(P4,9),'Market Data'!$A$2:$A$60,0))/Q4-1,"")</f>
        <v/>
      </c>
      <c r="V4" s="29">
        <f>IFERROR(MINIFS('Market Data'!$A$2:$A$60,'Market Data'!$A$2:$A$60,"&gt;"&amp;P4,'Market Data'!$D$2:$D$60,1),"")</f>
        <v/>
      </c>
      <c r="W4" s="32">
        <f>IF(V4="","",DATEDIF(P4,V4,"m"))</f>
        <v/>
      </c>
      <c r="X4" s="33" t="inlineStr">
        <is>
          <t>Historical upstream signal; often concurrent rather than leading in demand-led phase.</t>
        </is>
      </c>
    </row>
    <row r="5">
      <c r="A5" s="15" t="n">
        <v>4</v>
      </c>
      <c r="B5" s="23" t="n">
        <v>45343</v>
      </c>
      <c r="C5" s="24" t="inlineStr">
        <is>
          <t>SK hynix</t>
        </is>
      </c>
      <c r="D5" s="24" t="inlineStr">
        <is>
          <t>000660.KS</t>
        </is>
      </c>
      <c r="E5" s="24" t="inlineStr">
        <is>
          <t>HBM</t>
        </is>
      </c>
      <c r="F5" s="24" t="inlineStr">
        <is>
          <t>Bridge / chip procurement</t>
        </is>
      </c>
      <c r="G5" s="25" t="n">
        <v>0</v>
      </c>
      <c r="H5" s="24" t="inlineStr">
        <is>
          <t>Demand-led</t>
        </is>
      </c>
      <c r="I5" s="24" t="inlineStr">
        <is>
          <t>HBM production already sold out; planning next year</t>
        </is>
      </c>
      <c r="J5" s="24" t="inlineStr">
        <is>
          <t>2024 HBM planned output sold out; already preparing 2025</t>
        </is>
      </c>
      <c r="K5" s="26" t="n">
        <v>5</v>
      </c>
      <c r="L5" s="27" t="inlineStr">
        <is>
          <t>HBM allocation</t>
        </is>
      </c>
      <c r="M5" s="27" t="n">
        <v>0</v>
      </c>
      <c r="N5" s="27" t="n">
        <v>12</v>
      </c>
      <c r="O5" s="28" t="inlineStr">
        <is>
          <t>https://news.skhynix.com/en/new-leadership-spotlight-vice-president-kitae-kim-head-of-hbm-sales-marketing/</t>
        </is>
      </c>
      <c r="P5" s="29">
        <f>DATE(YEAR(B5),MONTH(B5),1)</f>
        <v/>
      </c>
      <c r="Q5" s="30">
        <f>IFERROR(INDEX('Market Data'!$B$2:$B$60,MATCH(P5,'Market Data'!$A$2:$A$60,0)),"")</f>
        <v/>
      </c>
      <c r="R5" s="31">
        <f>IFERROR(INDEX('Market Data'!$B$2:$B$60,MATCH(EDATE(P5,1),'Market Data'!$A$2:$A$60,0))/Q5-1,"")</f>
        <v/>
      </c>
      <c r="S5" s="31">
        <f>IFERROR(INDEX('Market Data'!$B$2:$B$60,MATCH(EDATE(P5,3),'Market Data'!$A$2:$A$60,0))/Q5-1,"")</f>
        <v/>
      </c>
      <c r="T5" s="31">
        <f>IFERROR(INDEX('Market Data'!$B$2:$B$60,MATCH(EDATE(P5,6),'Market Data'!$A$2:$A$60,0))/Q5-1,"")</f>
        <v/>
      </c>
      <c r="U5" s="31">
        <f>IFERROR(INDEX('Market Data'!$B$2:$B$60,MATCH(EDATE(P5,9),'Market Data'!$A$2:$A$60,0))/Q5-1,"")</f>
        <v/>
      </c>
      <c r="V5" s="29">
        <f>IFERROR(MINIFS('Market Data'!$A$2:$A$60,'Market Data'!$A$2:$A$60,"&gt;"&amp;P5,'Market Data'!$D$2:$D$60,1),"")</f>
        <v/>
      </c>
      <c r="W5" s="32">
        <f>IF(V5="","",DATEDIF(P5,V5,"m"))</f>
        <v/>
      </c>
      <c r="X5" s="33" t="inlineStr">
        <is>
          <t>Procurement bridge; validates physical demand but may be late for equity entry.</t>
        </is>
      </c>
    </row>
    <row r="6">
      <c r="A6" s="15" t="n">
        <v>5</v>
      </c>
      <c r="B6" s="23" t="n">
        <v>45351</v>
      </c>
      <c r="C6" s="24" t="inlineStr">
        <is>
          <t>Dell</t>
        </is>
      </c>
      <c r="D6" s="24" t="inlineStr">
        <is>
          <t>DELL</t>
        </is>
      </c>
      <c r="E6" s="24" t="inlineStr">
        <is>
          <t>Servers / racks</t>
        </is>
      </c>
      <c r="F6" s="24" t="inlineStr">
        <is>
          <t>Bridge / systems</t>
        </is>
      </c>
      <c r="G6" s="25" t="n">
        <v>0</v>
      </c>
      <c r="H6" s="24" t="inlineStr">
        <is>
          <t>Demand-led</t>
        </is>
      </c>
      <c r="I6" s="24" t="inlineStr">
        <is>
          <t>AI server backlog nearly doubles</t>
        </is>
      </c>
      <c r="J6" s="24" t="inlineStr">
        <is>
          <t>AI orders +~40% sequential; backlog $2.9B</t>
        </is>
      </c>
      <c r="K6" s="26" t="n">
        <v>5</v>
      </c>
      <c r="L6" s="27" t="inlineStr">
        <is>
          <t>Server / rack orders</t>
        </is>
      </c>
      <c r="M6" s="27" t="n">
        <v>0</v>
      </c>
      <c r="N6" s="27" t="n">
        <v>6</v>
      </c>
      <c r="O6" s="28" t="inlineStr">
        <is>
          <t>https://www.dell.com/en-us/dt/corporate/newsroom/announcements/detailpage.press-releases~usa~2024~02~dell-technologies-delivers-fourth-quarter-and-full-year-fiscal-2024-financial-results.htm</t>
        </is>
      </c>
      <c r="P6" s="29">
        <f>DATE(YEAR(B6),MONTH(B6),1)</f>
        <v/>
      </c>
      <c r="Q6" s="30">
        <f>IFERROR(INDEX('Market Data'!$B$2:$B$60,MATCH(P6,'Market Data'!$A$2:$A$60,0)),"")</f>
        <v/>
      </c>
      <c r="R6" s="31">
        <f>IFERROR(INDEX('Market Data'!$B$2:$B$60,MATCH(EDATE(P6,1),'Market Data'!$A$2:$A$60,0))/Q6-1,"")</f>
        <v/>
      </c>
      <c r="S6" s="31">
        <f>IFERROR(INDEX('Market Data'!$B$2:$B$60,MATCH(EDATE(P6,3),'Market Data'!$A$2:$A$60,0))/Q6-1,"")</f>
        <v/>
      </c>
      <c r="T6" s="31">
        <f>IFERROR(INDEX('Market Data'!$B$2:$B$60,MATCH(EDATE(P6,6),'Market Data'!$A$2:$A$60,0))/Q6-1,"")</f>
        <v/>
      </c>
      <c r="U6" s="31">
        <f>IFERROR(INDEX('Market Data'!$B$2:$B$60,MATCH(EDATE(P6,9),'Market Data'!$A$2:$A$60,0))/Q6-1,"")</f>
        <v/>
      </c>
      <c r="V6" s="29">
        <f>IFERROR(MINIFS('Market Data'!$A$2:$A$60,'Market Data'!$A$2:$A$60,"&gt;"&amp;P6,'Market Data'!$D$2:$D$60,1),"")</f>
        <v/>
      </c>
      <c r="W6" s="32">
        <f>IF(V6="","",DATEDIF(P6,V6,"m"))</f>
        <v/>
      </c>
      <c r="X6" s="33" t="inlineStr">
        <is>
          <t>Procurement bridge; validates physical demand but may be late for equity entry.</t>
        </is>
      </c>
    </row>
    <row r="7">
      <c r="A7" s="15" t="n">
        <v>6</v>
      </c>
      <c r="B7" s="23" t="n">
        <v>45406</v>
      </c>
      <c r="C7" s="24" t="inlineStr">
        <is>
          <t>Vertiv</t>
        </is>
      </c>
      <c r="D7" s="24" t="inlineStr">
        <is>
          <t>VRT</t>
        </is>
      </c>
      <c r="E7" s="24" t="inlineStr">
        <is>
          <t>Cooling / power</t>
        </is>
      </c>
      <c r="F7" s="24" t="inlineStr">
        <is>
          <t>Upstream physical</t>
        </is>
      </c>
      <c r="G7" s="25" t="n">
        <v>1</v>
      </c>
      <c r="H7" s="24" t="inlineStr">
        <is>
          <t>Demand-led</t>
        </is>
      </c>
      <c r="I7" s="24" t="inlineStr">
        <is>
          <t>Q1 AI-driven infrastructure orders jump</t>
        </is>
      </c>
      <c r="J7" s="24" t="inlineStr">
        <is>
          <t>Orders +60% YoY; book-to-bill 1.5x; backlog $6.3B</t>
        </is>
      </c>
      <c r="K7" s="26" t="n">
        <v>5</v>
      </c>
      <c r="L7" s="27" t="inlineStr">
        <is>
          <t>Cooling / UPS / power</t>
        </is>
      </c>
      <c r="M7" s="27" t="n">
        <v>3</v>
      </c>
      <c r="N7" s="27" t="n">
        <v>12</v>
      </c>
      <c r="O7" s="28" t="inlineStr">
        <is>
          <t>https://investors.vertiv.com/news/news-details/2024/Vertiv-Reports-60-Organic-Orders-Growth-8-Net-Sales-Growth-in-First-Quarter-Updates-Full-Year-2024-Outlook/default.aspx</t>
        </is>
      </c>
      <c r="P7" s="29">
        <f>DATE(YEAR(B7),MONTH(B7),1)</f>
        <v/>
      </c>
      <c r="Q7" s="30">
        <f>IFERROR(INDEX('Market Data'!$B$2:$B$60,MATCH(P7,'Market Data'!$A$2:$A$60,0)),"")</f>
        <v/>
      </c>
      <c r="R7" s="31">
        <f>IFERROR(INDEX('Market Data'!$B$2:$B$60,MATCH(EDATE(P7,1),'Market Data'!$A$2:$A$60,0))/Q7-1,"")</f>
        <v/>
      </c>
      <c r="S7" s="31">
        <f>IFERROR(INDEX('Market Data'!$B$2:$B$60,MATCH(EDATE(P7,3),'Market Data'!$A$2:$A$60,0))/Q7-1,"")</f>
        <v/>
      </c>
      <c r="T7" s="31">
        <f>IFERROR(INDEX('Market Data'!$B$2:$B$60,MATCH(EDATE(P7,6),'Market Data'!$A$2:$A$60,0))/Q7-1,"")</f>
        <v/>
      </c>
      <c r="U7" s="31">
        <f>IFERROR(INDEX('Market Data'!$B$2:$B$60,MATCH(EDATE(P7,9),'Market Data'!$A$2:$A$60,0))/Q7-1,"")</f>
        <v/>
      </c>
      <c r="V7" s="29">
        <f>IFERROR(MINIFS('Market Data'!$A$2:$A$60,'Market Data'!$A$2:$A$60,"&gt;"&amp;P7,'Market Data'!$D$2:$D$60,1),"")</f>
        <v/>
      </c>
      <c r="W7" s="32">
        <f>IF(V7="","",DATEDIF(P7,V7,"m"))</f>
        <v/>
      </c>
      <c r="X7" s="33" t="inlineStr">
        <is>
          <t>Historical upstream signal; often concurrent rather than leading in demand-led phase.</t>
        </is>
      </c>
    </row>
    <row r="8">
      <c r="A8" s="15" t="n">
        <v>7</v>
      </c>
      <c r="B8" s="23" t="n">
        <v>45442</v>
      </c>
      <c r="C8" s="24" t="inlineStr">
        <is>
          <t>Dell</t>
        </is>
      </c>
      <c r="D8" s="24" t="inlineStr">
        <is>
          <t>DELL</t>
        </is>
      </c>
      <c r="E8" s="24" t="inlineStr">
        <is>
          <t>Servers / racks</t>
        </is>
      </c>
      <c r="F8" s="24" t="inlineStr">
        <is>
          <t>Bridge / systems</t>
        </is>
      </c>
      <c r="G8" s="25" t="n">
        <v>0</v>
      </c>
      <c r="H8" s="24" t="inlineStr">
        <is>
          <t>Demand-led</t>
        </is>
      </c>
      <c r="I8" s="24" t="inlineStr">
        <is>
          <t>AI server order and shipment ramp</t>
        </is>
      </c>
      <c r="J8" s="24" t="inlineStr">
        <is>
          <t>Orders $2.6B; shipments $1.7B; backlog $3.8B</t>
        </is>
      </c>
      <c r="K8" s="26" t="n">
        <v>5</v>
      </c>
      <c r="L8" s="27" t="inlineStr">
        <is>
          <t>Server / rack orders</t>
        </is>
      </c>
      <c r="M8" s="27" t="n">
        <v>0</v>
      </c>
      <c r="N8" s="27" t="n">
        <v>6</v>
      </c>
      <c r="O8" s="28" t="inlineStr">
        <is>
          <t>https://investors.delltechnologies.com/news-releases/news-release-details/dell-technologies-delivers-first-quarter-fiscal-2025-financial</t>
        </is>
      </c>
      <c r="P8" s="29">
        <f>DATE(YEAR(B8),MONTH(B8),1)</f>
        <v/>
      </c>
      <c r="Q8" s="30">
        <f>IFERROR(INDEX('Market Data'!$B$2:$B$60,MATCH(P8,'Market Data'!$A$2:$A$60,0)),"")</f>
        <v/>
      </c>
      <c r="R8" s="31">
        <f>IFERROR(INDEX('Market Data'!$B$2:$B$60,MATCH(EDATE(P8,1),'Market Data'!$A$2:$A$60,0))/Q8-1,"")</f>
        <v/>
      </c>
      <c r="S8" s="31">
        <f>IFERROR(INDEX('Market Data'!$B$2:$B$60,MATCH(EDATE(P8,3),'Market Data'!$A$2:$A$60,0))/Q8-1,"")</f>
        <v/>
      </c>
      <c r="T8" s="31">
        <f>IFERROR(INDEX('Market Data'!$B$2:$B$60,MATCH(EDATE(P8,6),'Market Data'!$A$2:$A$60,0))/Q8-1,"")</f>
        <v/>
      </c>
      <c r="U8" s="31">
        <f>IFERROR(INDEX('Market Data'!$B$2:$B$60,MATCH(EDATE(P8,9),'Market Data'!$A$2:$A$60,0))/Q8-1,"")</f>
        <v/>
      </c>
      <c r="V8" s="29">
        <f>IFERROR(MINIFS('Market Data'!$A$2:$A$60,'Market Data'!$A$2:$A$60,"&gt;"&amp;P8,'Market Data'!$D$2:$D$60,1),"")</f>
        <v/>
      </c>
      <c r="W8" s="32">
        <f>IF(V8="","",DATEDIF(P8,V8,"m"))</f>
        <v/>
      </c>
      <c r="X8" s="33" t="inlineStr">
        <is>
          <t>Procurement bridge; validates physical demand but may be late for equity entry.</t>
        </is>
      </c>
    </row>
    <row r="9">
      <c r="A9" s="15" t="n">
        <v>8</v>
      </c>
      <c r="B9" s="23" t="n">
        <v>45491</v>
      </c>
      <c r="C9" s="24" t="inlineStr">
        <is>
          <t>TSMC</t>
        </is>
      </c>
      <c r="D9" s="24" t="inlineStr">
        <is>
          <t>TSM</t>
        </is>
      </c>
      <c r="E9" s="24" t="inlineStr">
        <is>
          <t>Advanced packaging</t>
        </is>
      </c>
      <c r="F9" s="24" t="inlineStr">
        <is>
          <t>Bridge / chip procurement</t>
        </is>
      </c>
      <c r="G9" s="25" t="n">
        <v>0</v>
      </c>
      <c r="H9" s="24" t="inlineStr">
        <is>
          <t>Demand-led</t>
        </is>
      </c>
      <c r="I9" s="24" t="inlineStr">
        <is>
          <t>CoWoS expansion confirms accelerator packaging pull</t>
        </is>
      </c>
      <c r="J9" s="24" t="inlineStr">
        <is>
          <t>Capacity &gt;2x in 2024; target ~2x or more again in 2025</t>
        </is>
      </c>
      <c r="K9" s="26" t="n">
        <v>5</v>
      </c>
      <c r="L9" s="27" t="inlineStr">
        <is>
          <t>Foundry / CoWoS</t>
        </is>
      </c>
      <c r="M9" s="27" t="n">
        <v>0</v>
      </c>
      <c r="N9" s="27" t="n">
        <v>12</v>
      </c>
      <c r="O9" s="28" t="inlineStr">
        <is>
          <t>https://investor.tsmc.com/english/encrypt/files/encrypt_file/reports/2024-08/5122725a56670882d777a8e8bfe0ed247cc55330/TSMC%202Q24%20Transcript.pdf</t>
        </is>
      </c>
      <c r="P9" s="29">
        <f>DATE(YEAR(B9),MONTH(B9),1)</f>
        <v/>
      </c>
      <c r="Q9" s="30">
        <f>IFERROR(INDEX('Market Data'!$B$2:$B$60,MATCH(P9,'Market Data'!$A$2:$A$60,0)),"")</f>
        <v/>
      </c>
      <c r="R9" s="31">
        <f>IFERROR(INDEX('Market Data'!$B$2:$B$60,MATCH(EDATE(P9,1),'Market Data'!$A$2:$A$60,0))/Q9-1,"")</f>
        <v/>
      </c>
      <c r="S9" s="31">
        <f>IFERROR(INDEX('Market Data'!$B$2:$B$60,MATCH(EDATE(P9,3),'Market Data'!$A$2:$A$60,0))/Q9-1,"")</f>
        <v/>
      </c>
      <c r="T9" s="31">
        <f>IFERROR(INDEX('Market Data'!$B$2:$B$60,MATCH(EDATE(P9,6),'Market Data'!$A$2:$A$60,0))/Q9-1,"")</f>
        <v/>
      </c>
      <c r="U9" s="31">
        <f>IFERROR(INDEX('Market Data'!$B$2:$B$60,MATCH(EDATE(P9,9),'Market Data'!$A$2:$A$60,0))/Q9-1,"")</f>
        <v/>
      </c>
      <c r="V9" s="29">
        <f>IFERROR(MINIFS('Market Data'!$A$2:$A$60,'Market Data'!$A$2:$A$60,"&gt;"&amp;P9,'Market Data'!$D$2:$D$60,1),"")</f>
        <v/>
      </c>
      <c r="W9" s="32">
        <f>IF(V9="","",DATEDIF(P9,V9,"m"))</f>
        <v/>
      </c>
      <c r="X9" s="33" t="inlineStr">
        <is>
          <t>Procurement bridge; validates physical demand but may be late for equity entry.</t>
        </is>
      </c>
    </row>
    <row r="10">
      <c r="A10" s="15" t="n">
        <v>9</v>
      </c>
      <c r="B10" s="23" t="n">
        <v>45588</v>
      </c>
      <c r="C10" s="24" t="inlineStr">
        <is>
          <t>Vertiv</t>
        </is>
      </c>
      <c r="D10" s="24" t="inlineStr">
        <is>
          <t>VRT</t>
        </is>
      </c>
      <c r="E10" s="24" t="inlineStr">
        <is>
          <t>Cooling / power</t>
        </is>
      </c>
      <c r="F10" s="24" t="inlineStr">
        <is>
          <t>Upstream physical</t>
        </is>
      </c>
      <c r="G10" s="25" t="n">
        <v>1</v>
      </c>
      <c r="H10" s="24" t="inlineStr">
        <is>
          <t>Demand-led</t>
        </is>
      </c>
      <c r="I10" s="24" t="inlineStr">
        <is>
          <t>Hyperscale and AI/liquid-cooling pipeline stays strong</t>
        </is>
      </c>
      <c r="J10" s="24" t="inlineStr">
        <is>
          <t>Q3 orders +17% YoY; TTM +37%</t>
        </is>
      </c>
      <c r="K10" s="26" t="n">
        <v>4</v>
      </c>
      <c r="L10" s="27" t="inlineStr">
        <is>
          <t>Cooling / UPS / power</t>
        </is>
      </c>
      <c r="M10" s="27" t="n">
        <v>3</v>
      </c>
      <c r="N10" s="27" t="n">
        <v>12</v>
      </c>
      <c r="O10" s="28" t="inlineStr">
        <is>
          <t>https://investors.vertiv.com/news/news-details/2024/Vertiv-Reports-Strong-Third-Quarter-2024-Results-and-Raises-Full-Year-Guidance/default.aspx</t>
        </is>
      </c>
      <c r="P10" s="29">
        <f>DATE(YEAR(B10),MONTH(B10),1)</f>
        <v/>
      </c>
      <c r="Q10" s="30">
        <f>IFERROR(INDEX('Market Data'!$B$2:$B$60,MATCH(P10,'Market Data'!$A$2:$A$60,0)),"")</f>
        <v/>
      </c>
      <c r="R10" s="31">
        <f>IFERROR(INDEX('Market Data'!$B$2:$B$60,MATCH(EDATE(P10,1),'Market Data'!$A$2:$A$60,0))/Q10-1,"")</f>
        <v/>
      </c>
      <c r="S10" s="31">
        <f>IFERROR(INDEX('Market Data'!$B$2:$B$60,MATCH(EDATE(P10,3),'Market Data'!$A$2:$A$60,0))/Q10-1,"")</f>
        <v/>
      </c>
      <c r="T10" s="31">
        <f>IFERROR(INDEX('Market Data'!$B$2:$B$60,MATCH(EDATE(P10,6),'Market Data'!$A$2:$A$60,0))/Q10-1,"")</f>
        <v/>
      </c>
      <c r="U10" s="31">
        <f>IFERROR(INDEX('Market Data'!$B$2:$B$60,MATCH(EDATE(P10,9),'Market Data'!$A$2:$A$60,0))/Q10-1,"")</f>
        <v/>
      </c>
      <c r="V10" s="29">
        <f>IFERROR(MINIFS('Market Data'!$A$2:$A$60,'Market Data'!$A$2:$A$60,"&gt;"&amp;P10,'Market Data'!$D$2:$D$60,1),"")</f>
        <v/>
      </c>
      <c r="W10" s="32">
        <f>IF(V10="","",DATEDIF(P10,V10,"m"))</f>
        <v/>
      </c>
      <c r="X10" s="33" t="inlineStr">
        <is>
          <t>Historical upstream signal; often concurrent rather than leading in demand-led phase.</t>
        </is>
      </c>
    </row>
    <row r="11">
      <c r="A11" s="15" t="n">
        <v>10</v>
      </c>
      <c r="B11" s="23" t="n">
        <v>45688</v>
      </c>
      <c r="C11" s="24" t="inlineStr">
        <is>
          <t>Eaton</t>
        </is>
      </c>
      <c r="D11" s="24" t="inlineStr">
        <is>
          <t>ETN</t>
        </is>
      </c>
      <c r="E11" s="24" t="inlineStr">
        <is>
          <t>Electrical</t>
        </is>
      </c>
      <c r="F11" s="24" t="inlineStr">
        <is>
          <t>Upstream physical</t>
        </is>
      </c>
      <c r="G11" s="25" t="n">
        <v>1</v>
      </c>
      <c r="H11" s="24" t="inlineStr">
        <is>
          <t>Transition</t>
        </is>
      </c>
      <c r="I11" s="24" t="inlineStr">
        <is>
          <t>Data-center electrical order book sharply expands</t>
        </is>
      </c>
      <c r="J11" s="24" t="inlineStr">
        <is>
          <t>Data-center TTM orders +75%; backlog +50%; hyperscaler sales +~75%</t>
        </is>
      </c>
      <c r="K11" s="26" t="n">
        <v>5</v>
      </c>
      <c r="L11" s="27" t="inlineStr">
        <is>
          <t>Electrical / power distribution</t>
        </is>
      </c>
      <c r="M11" s="27" t="n">
        <v>3</v>
      </c>
      <c r="N11" s="27" t="n">
        <v>12</v>
      </c>
      <c r="O11" s="28" t="inlineStr">
        <is>
          <t>https://www.eaton.com/content/dam/eaton/company/investor-relations/quarterly-earnings/filings/2024/q4/4Q-2024-analyst-presentation.pdf</t>
        </is>
      </c>
      <c r="P11" s="29">
        <f>DATE(YEAR(B11),MONTH(B11),1)</f>
        <v/>
      </c>
      <c r="Q11" s="30">
        <f>IFERROR(INDEX('Market Data'!$B$2:$B$60,MATCH(P11,'Market Data'!$A$2:$A$60,0)),"")</f>
        <v/>
      </c>
      <c r="R11" s="31">
        <f>IFERROR(INDEX('Market Data'!$B$2:$B$60,MATCH(EDATE(P11,1),'Market Data'!$A$2:$A$60,0))/Q11-1,"")</f>
        <v/>
      </c>
      <c r="S11" s="31">
        <f>IFERROR(INDEX('Market Data'!$B$2:$B$60,MATCH(EDATE(P11,3),'Market Data'!$A$2:$A$60,0))/Q11-1,"")</f>
        <v/>
      </c>
      <c r="T11" s="31">
        <f>IFERROR(INDEX('Market Data'!$B$2:$B$60,MATCH(EDATE(P11,6),'Market Data'!$A$2:$A$60,0))/Q11-1,"")</f>
        <v/>
      </c>
      <c r="U11" s="31">
        <f>IFERROR(INDEX('Market Data'!$B$2:$B$60,MATCH(EDATE(P11,9),'Market Data'!$A$2:$A$60,0))/Q11-1,"")</f>
        <v/>
      </c>
      <c r="V11" s="29">
        <f>IFERROR(MINIFS('Market Data'!$A$2:$A$60,'Market Data'!$A$2:$A$60,"&gt;"&amp;P11,'Market Data'!$D$2:$D$60,1),"")</f>
        <v/>
      </c>
      <c r="W11" s="32">
        <f>IF(V11="","",DATEDIF(P11,V11,"m"))</f>
        <v/>
      </c>
      <c r="X11" s="33" t="inlineStr">
        <is>
          <t>Historical upstream signal; often concurrent rather than leading in demand-led phase.</t>
        </is>
      </c>
    </row>
    <row r="12">
      <c r="A12" s="15" t="n">
        <v>11</v>
      </c>
      <c r="B12" s="23" t="n">
        <v>45736</v>
      </c>
      <c r="C12" s="24" t="inlineStr">
        <is>
          <t>Micron</t>
        </is>
      </c>
      <c r="D12" s="24" t="inlineStr">
        <is>
          <t>MU</t>
        </is>
      </c>
      <c r="E12" s="24" t="inlineStr">
        <is>
          <t>HBM</t>
        </is>
      </c>
      <c r="F12" s="24" t="inlineStr">
        <is>
          <t>Bridge / chip procurement</t>
        </is>
      </c>
      <c r="G12" s="25" t="n">
        <v>0</v>
      </c>
      <c r="H12" s="24" t="inlineStr">
        <is>
          <t>Transition</t>
        </is>
      </c>
      <c r="I12" s="24" t="inlineStr">
        <is>
          <t>HBM volume commitments extend into next year</t>
        </is>
      </c>
      <c r="J12" s="24" t="inlineStr">
        <is>
          <t>2025 HBM sold out; negotiating 2026 demand</t>
        </is>
      </c>
      <c r="K12" s="26" t="n">
        <v>5</v>
      </c>
      <c r="L12" s="27" t="inlineStr">
        <is>
          <t>HBM allocation</t>
        </is>
      </c>
      <c r="M12" s="27" t="n">
        <v>0</v>
      </c>
      <c r="N12" s="27" t="n">
        <v>12</v>
      </c>
      <c r="O12" s="28" t="inlineStr">
        <is>
          <t>https://investors.micron.com/static-files/52ce0c07-49dc-4eab-b1d2-a67bde373bca</t>
        </is>
      </c>
      <c r="P12" s="29">
        <f>DATE(YEAR(B12),MONTH(B12),1)</f>
        <v/>
      </c>
      <c r="Q12" s="30">
        <f>IFERROR(INDEX('Market Data'!$B$2:$B$60,MATCH(P12,'Market Data'!$A$2:$A$60,0)),"")</f>
        <v/>
      </c>
      <c r="R12" s="31">
        <f>IFERROR(INDEX('Market Data'!$B$2:$B$60,MATCH(EDATE(P12,1),'Market Data'!$A$2:$A$60,0))/Q12-1,"")</f>
        <v/>
      </c>
      <c r="S12" s="31">
        <f>IFERROR(INDEX('Market Data'!$B$2:$B$60,MATCH(EDATE(P12,3),'Market Data'!$A$2:$A$60,0))/Q12-1,"")</f>
        <v/>
      </c>
      <c r="T12" s="31">
        <f>IFERROR(INDEX('Market Data'!$B$2:$B$60,MATCH(EDATE(P12,6),'Market Data'!$A$2:$A$60,0))/Q12-1,"")</f>
        <v/>
      </c>
      <c r="U12" s="31">
        <f>IFERROR(INDEX('Market Data'!$B$2:$B$60,MATCH(EDATE(P12,9),'Market Data'!$A$2:$A$60,0))/Q12-1,"")</f>
        <v/>
      </c>
      <c r="V12" s="29">
        <f>IFERROR(MINIFS('Market Data'!$A$2:$A$60,'Market Data'!$A$2:$A$60,"&gt;"&amp;P12,'Market Data'!$D$2:$D$60,1),"")</f>
        <v/>
      </c>
      <c r="W12" s="32">
        <f>IF(V12="","",DATEDIF(P12,V12,"m"))</f>
        <v/>
      </c>
      <c r="X12" s="33" t="inlineStr">
        <is>
          <t>Procurement bridge; validates physical demand but may be late for equity entry.</t>
        </is>
      </c>
    </row>
    <row r="13">
      <c r="A13" s="15" t="n">
        <v>12</v>
      </c>
      <c r="B13" s="23" t="n">
        <v>45868</v>
      </c>
      <c r="C13" s="24" t="inlineStr">
        <is>
          <t>Vertiv</t>
        </is>
      </c>
      <c r="D13" s="24" t="inlineStr">
        <is>
          <t>VRT</t>
        </is>
      </c>
      <c r="E13" s="24" t="inlineStr">
        <is>
          <t>Cooling / power</t>
        </is>
      </c>
      <c r="F13" s="24" t="inlineStr">
        <is>
          <t>Upstream physical</t>
        </is>
      </c>
      <c r="G13" s="25" t="n">
        <v>1</v>
      </c>
      <c r="H13" s="24" t="inlineStr">
        <is>
          <t>Power-constrained</t>
        </is>
      </c>
      <c r="I13" s="24" t="inlineStr">
        <is>
          <t>Critical infrastructure orders reaccelerate sequentially</t>
        </is>
      </c>
      <c r="J13" s="24" t="inlineStr">
        <is>
          <t>Q2 orders +15% YoY / +11% sequential; backlog $8.5B; B2B ~1.2x</t>
        </is>
      </c>
      <c r="K13" s="26" t="n">
        <v>4</v>
      </c>
      <c r="L13" s="27" t="inlineStr">
        <is>
          <t>Cooling / UPS / power</t>
        </is>
      </c>
      <c r="M13" s="27" t="n">
        <v>3</v>
      </c>
      <c r="N13" s="27" t="n">
        <v>12</v>
      </c>
      <c r="O13" s="28" t="inlineStr">
        <is>
          <t>https://investors.vertiv.com/news/news-details/2025/Vertiv-Reports-Strong-Orders-Sales-and-EPS-Growth-Raises-Full-Year-Guidance/</t>
        </is>
      </c>
      <c r="P13" s="29">
        <f>DATE(YEAR(B13),MONTH(B13),1)</f>
        <v/>
      </c>
      <c r="Q13" s="30">
        <f>IFERROR(INDEX('Market Data'!$B$2:$B$60,MATCH(P13,'Market Data'!$A$2:$A$60,0)),"")</f>
        <v/>
      </c>
      <c r="R13" s="31">
        <f>IFERROR(INDEX('Market Data'!$B$2:$B$60,MATCH(EDATE(P13,1),'Market Data'!$A$2:$A$60,0))/Q13-1,"")</f>
        <v/>
      </c>
      <c r="S13" s="31">
        <f>IFERROR(INDEX('Market Data'!$B$2:$B$60,MATCH(EDATE(P13,3),'Market Data'!$A$2:$A$60,0))/Q13-1,"")</f>
        <v/>
      </c>
      <c r="T13" s="31">
        <f>IFERROR(INDEX('Market Data'!$B$2:$B$60,MATCH(EDATE(P13,6),'Market Data'!$A$2:$A$60,0))/Q13-1,"")</f>
        <v/>
      </c>
      <c r="U13" s="31">
        <f>IFERROR(INDEX('Market Data'!$B$2:$B$60,MATCH(EDATE(P13,9),'Market Data'!$A$2:$A$60,0))/Q13-1,"")</f>
        <v/>
      </c>
      <c r="V13" s="29">
        <f>IFERROR(MINIFS('Market Data'!$A$2:$A$60,'Market Data'!$A$2:$A$60,"&gt;"&amp;P13,'Market Data'!$D$2:$D$60,1),"")</f>
        <v/>
      </c>
      <c r="W13" s="32">
        <f>IF(V13="","",DATEDIF(P13,V13,"m"))</f>
        <v/>
      </c>
      <c r="X13" s="33" t="inlineStr">
        <is>
          <t>Candidate leading signal in power-constrained regime.</t>
        </is>
      </c>
    </row>
    <row r="14">
      <c r="A14" s="15" t="n">
        <v>13</v>
      </c>
      <c r="B14" s="23" t="n">
        <v>45876</v>
      </c>
      <c r="C14" s="24" t="inlineStr">
        <is>
          <t>Caterpillar</t>
        </is>
      </c>
      <c r="D14" s="24" t="inlineStr">
        <is>
          <t>CAT</t>
        </is>
      </c>
      <c r="E14" s="24" t="inlineStr">
        <is>
          <t>Generation</t>
        </is>
      </c>
      <c r="F14" s="24" t="inlineStr">
        <is>
          <t>Upstream physical</t>
        </is>
      </c>
      <c r="G14" s="25" t="n">
        <v>1</v>
      </c>
      <c r="H14" s="24" t="inlineStr">
        <is>
          <t>Power-constrained</t>
        </is>
      </c>
      <c r="I14" s="24" t="inlineStr">
        <is>
          <t>Firm speed-to-power agreement for Utah AI/HPC campus</t>
        </is>
      </c>
      <c r="J14" s="24" t="inlineStr">
        <is>
          <t>4 GW total energy plan; gigawatt capacity launch in 2026</t>
        </is>
      </c>
      <c r="K14" s="26" t="n">
        <v>5</v>
      </c>
      <c r="L14" s="27" t="inlineStr">
        <is>
          <t>Generation contract / gensets</t>
        </is>
      </c>
      <c r="M14" s="27" t="n">
        <v>6</v>
      </c>
      <c r="N14" s="27" t="n">
        <v>18</v>
      </c>
      <c r="O14" s="28" t="inlineStr">
        <is>
          <t>https://investors.caterpillar.com/news/news-details/2025/Joule-Caterpillar-and-Wheeler-Announce-an-Agreement-to-Power-Americas-Growing-Data-Center-Energy-Needs/default.aspx</t>
        </is>
      </c>
      <c r="P14" s="29">
        <f>DATE(YEAR(B14),MONTH(B14),1)</f>
        <v/>
      </c>
      <c r="Q14" s="30">
        <f>IFERROR(INDEX('Market Data'!$B$2:$B$60,MATCH(P14,'Market Data'!$A$2:$A$60,0)),"")</f>
        <v/>
      </c>
      <c r="R14" s="31">
        <f>IFERROR(INDEX('Market Data'!$B$2:$B$60,MATCH(EDATE(P14,1),'Market Data'!$A$2:$A$60,0))/Q14-1,"")</f>
        <v/>
      </c>
      <c r="S14" s="31">
        <f>IFERROR(INDEX('Market Data'!$B$2:$B$60,MATCH(EDATE(P14,3),'Market Data'!$A$2:$A$60,0))/Q14-1,"")</f>
        <v/>
      </c>
      <c r="T14" s="31">
        <f>IFERROR(INDEX('Market Data'!$B$2:$B$60,MATCH(EDATE(P14,6),'Market Data'!$A$2:$A$60,0))/Q14-1,"")</f>
        <v/>
      </c>
      <c r="U14" s="31">
        <f>IFERROR(INDEX('Market Data'!$B$2:$B$60,MATCH(EDATE(P14,9),'Market Data'!$A$2:$A$60,0))/Q14-1,"")</f>
        <v/>
      </c>
      <c r="V14" s="29">
        <f>IFERROR(MINIFS('Market Data'!$A$2:$A$60,'Market Data'!$A$2:$A$60,"&gt;"&amp;P14,'Market Data'!$D$2:$D$60,1),"")</f>
        <v/>
      </c>
      <c r="W14" s="32">
        <f>IF(V14="","",DATEDIF(P14,V14,"m"))</f>
        <v/>
      </c>
      <c r="X14" s="33" t="inlineStr">
        <is>
          <t>Candidate leading signal in power-constrained regime.</t>
        </is>
      </c>
    </row>
    <row r="15">
      <c r="A15" s="15" t="n">
        <v>14</v>
      </c>
      <c r="B15" s="23" t="n">
        <v>45890</v>
      </c>
      <c r="C15" s="24" t="inlineStr">
        <is>
          <t>Caterpillar</t>
        </is>
      </c>
      <c r="D15" s="24" t="inlineStr">
        <is>
          <t>CAT</t>
        </is>
      </c>
      <c r="E15" s="24" t="inlineStr">
        <is>
          <t>Generation</t>
        </is>
      </c>
      <c r="F15" s="24" t="inlineStr">
        <is>
          <t>Upstream physical</t>
        </is>
      </c>
      <c r="G15" s="25" t="n">
        <v>1</v>
      </c>
      <c r="H15" s="24" t="inlineStr">
        <is>
          <t>Power-constrained</t>
        </is>
      </c>
      <c r="I15" s="24" t="inlineStr">
        <is>
          <t>Long-term data-center power alliance with first Texas project</t>
        </is>
      </c>
      <c r="J15" s="24" t="inlineStr">
        <is>
          <t>Up to 1 GW generation initiative</t>
        </is>
      </c>
      <c r="K15" s="26" t="n">
        <v>4</v>
      </c>
      <c r="L15" s="27" t="inlineStr">
        <is>
          <t>Generation contract / gensets</t>
        </is>
      </c>
      <c r="M15" s="27" t="n">
        <v>6</v>
      </c>
      <c r="N15" s="27" t="n">
        <v>18</v>
      </c>
      <c r="O15" s="28" t="inlineStr">
        <is>
          <t>https://investors.caterpillar.com/news/news-details/2025/Caterpillar-and-Hunt-Energy-Company-L-P--Sign-Long-Term-Strategic-Agreement-to-Deliver-Power-Solutions-for-Data-Centers/default.aspx</t>
        </is>
      </c>
      <c r="P15" s="29">
        <f>DATE(YEAR(B15),MONTH(B15),1)</f>
        <v/>
      </c>
      <c r="Q15" s="30">
        <f>IFERROR(INDEX('Market Data'!$B$2:$B$60,MATCH(P15,'Market Data'!$A$2:$A$60,0)),"")</f>
        <v/>
      </c>
      <c r="R15" s="31">
        <f>IFERROR(INDEX('Market Data'!$B$2:$B$60,MATCH(EDATE(P15,1),'Market Data'!$A$2:$A$60,0))/Q15-1,"")</f>
        <v/>
      </c>
      <c r="S15" s="31">
        <f>IFERROR(INDEX('Market Data'!$B$2:$B$60,MATCH(EDATE(P15,3),'Market Data'!$A$2:$A$60,0))/Q15-1,"")</f>
        <v/>
      </c>
      <c r="T15" s="31">
        <f>IFERROR(INDEX('Market Data'!$B$2:$B$60,MATCH(EDATE(P15,6),'Market Data'!$A$2:$A$60,0))/Q15-1,"")</f>
        <v/>
      </c>
      <c r="U15" s="31">
        <f>IFERROR(INDEX('Market Data'!$B$2:$B$60,MATCH(EDATE(P15,9),'Market Data'!$A$2:$A$60,0))/Q15-1,"")</f>
        <v/>
      </c>
      <c r="V15" s="29">
        <f>IFERROR(MINIFS('Market Data'!$A$2:$A$60,'Market Data'!$A$2:$A$60,"&gt;"&amp;P15,'Market Data'!$D$2:$D$60,1),"")</f>
        <v/>
      </c>
      <c r="W15" s="32">
        <f>IF(V15="","",DATEDIF(P15,V15,"m"))</f>
        <v/>
      </c>
      <c r="X15" s="33" t="inlineStr">
        <is>
          <t>Candidate leading signal in power-constrained regime.</t>
        </is>
      </c>
    </row>
    <row r="16">
      <c r="A16" s="15" t="n">
        <v>15</v>
      </c>
      <c r="B16" s="23" t="n">
        <v>45952</v>
      </c>
      <c r="C16" s="24" t="inlineStr">
        <is>
          <t>Vertiv</t>
        </is>
      </c>
      <c r="D16" s="24" t="inlineStr">
        <is>
          <t>VRT</t>
        </is>
      </c>
      <c r="E16" s="24" t="inlineStr">
        <is>
          <t>Cooling / power</t>
        </is>
      </c>
      <c r="F16" s="24" t="inlineStr">
        <is>
          <t>Upstream physical</t>
        </is>
      </c>
      <c r="G16" s="25" t="n">
        <v>1</v>
      </c>
      <c r="H16" s="24" t="inlineStr">
        <is>
          <t>Power-constrained</t>
        </is>
      </c>
      <c r="I16" s="24" t="inlineStr">
        <is>
          <t>AI infrastructure orders accelerate sharply</t>
        </is>
      </c>
      <c r="J16" s="24" t="inlineStr">
        <is>
          <t>Q3 orders +60% YoY / +20% sequential; B2B ~1.4x; backlog $9.5B</t>
        </is>
      </c>
      <c r="K16" s="26" t="n">
        <v>5</v>
      </c>
      <c r="L16" s="27" t="inlineStr">
        <is>
          <t>Cooling / UPS / power</t>
        </is>
      </c>
      <c r="M16" s="27" t="n">
        <v>3</v>
      </c>
      <c r="N16" s="27" t="n">
        <v>12</v>
      </c>
      <c r="O16" s="28" t="inlineStr">
        <is>
          <t>https://investors.vertiv.com/news/news-details/2025/Vertiv-Reports-Strong-Third-Quarter-Results-including-Organic-Orders-60-Diluted-EPS-122-Adjusted-EPS-63-Raises-2025-Guidance/</t>
        </is>
      </c>
      <c r="P16" s="29">
        <f>DATE(YEAR(B16),MONTH(B16),1)</f>
        <v/>
      </c>
      <c r="Q16" s="30">
        <f>IFERROR(INDEX('Market Data'!$B$2:$B$60,MATCH(P16,'Market Data'!$A$2:$A$60,0)),"")</f>
        <v/>
      </c>
      <c r="R16" s="31">
        <f>IFERROR(INDEX('Market Data'!$B$2:$B$60,MATCH(EDATE(P16,1),'Market Data'!$A$2:$A$60,0))/Q16-1,"")</f>
        <v/>
      </c>
      <c r="S16" s="31">
        <f>IFERROR(INDEX('Market Data'!$B$2:$B$60,MATCH(EDATE(P16,3),'Market Data'!$A$2:$A$60,0))/Q16-1,"")</f>
        <v/>
      </c>
      <c r="T16" s="31">
        <f>IFERROR(INDEX('Market Data'!$B$2:$B$60,MATCH(EDATE(P16,6),'Market Data'!$A$2:$A$60,0))/Q16-1,"")</f>
        <v/>
      </c>
      <c r="U16" s="31">
        <f>IFERROR(INDEX('Market Data'!$B$2:$B$60,MATCH(EDATE(P16,9),'Market Data'!$A$2:$A$60,0))/Q16-1,"")</f>
        <v/>
      </c>
      <c r="V16" s="29">
        <f>IFERROR(MINIFS('Market Data'!$A$2:$A$60,'Market Data'!$A$2:$A$60,"&gt;"&amp;P16,'Market Data'!$D$2:$D$60,1),"")</f>
        <v/>
      </c>
      <c r="W16" s="32">
        <f>IF(V16="","",DATEDIF(P16,V16,"m"))</f>
        <v/>
      </c>
      <c r="X16" s="33" t="inlineStr">
        <is>
          <t>Candidate leading signal in power-constrained regime.</t>
        </is>
      </c>
    </row>
    <row r="17">
      <c r="A17" s="15" t="n">
        <v>16</v>
      </c>
      <c r="B17" s="23" t="n">
        <v>45965</v>
      </c>
      <c r="C17" s="24" t="inlineStr">
        <is>
          <t>Eaton</t>
        </is>
      </c>
      <c r="D17" s="24" t="inlineStr">
        <is>
          <t>ETN</t>
        </is>
      </c>
      <c r="E17" s="24" t="inlineStr">
        <is>
          <t>Electrical</t>
        </is>
      </c>
      <c r="F17" s="24" t="inlineStr">
        <is>
          <t>Upstream physical</t>
        </is>
      </c>
      <c r="G17" s="25" t="n">
        <v>1</v>
      </c>
      <c r="H17" s="24" t="inlineStr">
        <is>
          <t>Power-constrained</t>
        </is>
      </c>
      <c r="I17" s="24" t="inlineStr">
        <is>
          <t>Electrical orders accelerate, explicitly data-center driven</t>
        </is>
      </c>
      <c r="J17" s="24" t="inlineStr">
        <is>
          <t>Electrical Americas rolling orders +7%; backlog +20%</t>
        </is>
      </c>
      <c r="K17" s="26" t="n">
        <v>4</v>
      </c>
      <c r="L17" s="27" t="inlineStr">
        <is>
          <t>Electrical / power distribution</t>
        </is>
      </c>
      <c r="M17" s="27" t="n">
        <v>3</v>
      </c>
      <c r="N17" s="27" t="n">
        <v>12</v>
      </c>
      <c r="O17" s="28" t="inlineStr">
        <is>
          <t>https://www.eaton.com/content/dam/eaton/company/investor-relations/quarterly-earnings/filings/2025/q3/3Q-2025-earnings-complete.pdf</t>
        </is>
      </c>
      <c r="P17" s="29">
        <f>DATE(YEAR(B17),MONTH(B17),1)</f>
        <v/>
      </c>
      <c r="Q17" s="30">
        <f>IFERROR(INDEX('Market Data'!$B$2:$B$60,MATCH(P17,'Market Data'!$A$2:$A$60,0)),"")</f>
        <v/>
      </c>
      <c r="R17" s="31">
        <f>IFERROR(INDEX('Market Data'!$B$2:$B$60,MATCH(EDATE(P17,1),'Market Data'!$A$2:$A$60,0))/Q17-1,"")</f>
        <v/>
      </c>
      <c r="S17" s="31">
        <f>IFERROR(INDEX('Market Data'!$B$2:$B$60,MATCH(EDATE(P17,3),'Market Data'!$A$2:$A$60,0))/Q17-1,"")</f>
        <v/>
      </c>
      <c r="T17" s="31">
        <f>IFERROR(INDEX('Market Data'!$B$2:$B$60,MATCH(EDATE(P17,6),'Market Data'!$A$2:$A$60,0))/Q17-1,"")</f>
        <v/>
      </c>
      <c r="U17" s="31">
        <f>IFERROR(INDEX('Market Data'!$B$2:$B$60,MATCH(EDATE(P17,9),'Market Data'!$A$2:$A$60,0))/Q17-1,"")</f>
        <v/>
      </c>
      <c r="V17" s="29">
        <f>IFERROR(MINIFS('Market Data'!$A$2:$A$60,'Market Data'!$A$2:$A$60,"&gt;"&amp;P17,'Market Data'!$D$2:$D$60,1),"")</f>
        <v/>
      </c>
      <c r="W17" s="32">
        <f>IF(V17="","",DATEDIF(P17,V17,"m"))</f>
        <v/>
      </c>
      <c r="X17" s="33" t="inlineStr">
        <is>
          <t>Candidate leading signal in power-constrained regime.</t>
        </is>
      </c>
    </row>
    <row r="18">
      <c r="A18" s="15" t="n">
        <v>17</v>
      </c>
      <c r="B18" s="23" t="n">
        <v>46050</v>
      </c>
      <c r="C18" s="24" t="inlineStr">
        <is>
          <t>Caterpillar</t>
        </is>
      </c>
      <c r="D18" s="24" t="inlineStr">
        <is>
          <t>CAT</t>
        </is>
      </c>
      <c r="E18" s="24" t="inlineStr">
        <is>
          <t>Generation</t>
        </is>
      </c>
      <c r="F18" s="24" t="inlineStr">
        <is>
          <t>Upstream physical</t>
        </is>
      </c>
      <c r="G18" s="25" t="n">
        <v>1</v>
      </c>
      <c r="H18" s="24" t="inlineStr">
        <is>
          <t>Power-constrained</t>
        </is>
      </c>
      <c r="I18" s="24" t="inlineStr">
        <is>
          <t>Purchase agreement gives a hard power-delivery clock</t>
        </is>
      </c>
      <c r="J18" s="24" t="inlineStr">
        <is>
          <t>2 GW gensets; deliveries Sep-26 to Aug-27; commissioning within months</t>
        </is>
      </c>
      <c r="K18" s="26" t="n">
        <v>5</v>
      </c>
      <c r="L18" s="27" t="inlineStr">
        <is>
          <t>Generation contract / gensets</t>
        </is>
      </c>
      <c r="M18" s="27" t="n">
        <v>6</v>
      </c>
      <c r="N18" s="27" t="n">
        <v>18</v>
      </c>
      <c r="O18" s="28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  <c r="P18" s="29">
        <f>DATE(YEAR(B18),MONTH(B18),1)</f>
        <v/>
      </c>
      <c r="Q18" s="30">
        <f>IFERROR(INDEX('Market Data'!$B$2:$B$60,MATCH(P18,'Market Data'!$A$2:$A$60,0)),"")</f>
        <v/>
      </c>
      <c r="R18" s="31">
        <f>IFERROR(INDEX('Market Data'!$B$2:$B$60,MATCH(EDATE(P18,1),'Market Data'!$A$2:$A$60,0))/Q18-1,"")</f>
        <v/>
      </c>
      <c r="S18" s="31">
        <f>IFERROR(INDEX('Market Data'!$B$2:$B$60,MATCH(EDATE(P18,3),'Market Data'!$A$2:$A$60,0))/Q18-1,"")</f>
        <v/>
      </c>
      <c r="T18" s="31">
        <f>IFERROR(INDEX('Market Data'!$B$2:$B$60,MATCH(EDATE(P18,6),'Market Data'!$A$2:$A$60,0))/Q18-1,"")</f>
        <v/>
      </c>
      <c r="U18" s="31">
        <f>IFERROR(INDEX('Market Data'!$B$2:$B$60,MATCH(EDATE(P18,9),'Market Data'!$A$2:$A$60,0))/Q18-1,"")</f>
        <v/>
      </c>
      <c r="V18" s="29">
        <f>IFERROR(MINIFS('Market Data'!$A$2:$A$60,'Market Data'!$A$2:$A$60,"&gt;"&amp;P18,'Market Data'!$D$2:$D$60,1),"")</f>
        <v/>
      </c>
      <c r="W18" s="32">
        <f>IF(V18="","",DATEDIF(P18,V18,"m"))</f>
        <v/>
      </c>
      <c r="X18" s="33" t="inlineStr">
        <is>
          <t>Candidate leading signal in power-constrained regime.</t>
        </is>
      </c>
    </row>
    <row r="19">
      <c r="A19" s="15" t="n">
        <v>18</v>
      </c>
      <c r="B19" s="23" t="n">
        <v>46056</v>
      </c>
      <c r="C19" s="24" t="inlineStr">
        <is>
          <t>Eaton</t>
        </is>
      </c>
      <c r="D19" s="24" t="inlineStr">
        <is>
          <t>ETN</t>
        </is>
      </c>
      <c r="E19" s="24" t="inlineStr">
        <is>
          <t>Electrical</t>
        </is>
      </c>
      <c r="F19" s="24" t="inlineStr">
        <is>
          <t>Upstream physical</t>
        </is>
      </c>
      <c r="G19" s="25" t="n">
        <v>1</v>
      </c>
      <c r="H19" s="24" t="inlineStr">
        <is>
          <t>Power-constrained</t>
        </is>
      </c>
      <c r="I19" s="24" t="inlineStr">
        <is>
          <t>Data-center electrical orders explode</t>
        </is>
      </c>
      <c r="J19" s="24" t="inlineStr">
        <is>
          <t>Q4 data-center orders +~200% YoY; revenue +~40%; backlog +31%</t>
        </is>
      </c>
      <c r="K19" s="26" t="n">
        <v>5</v>
      </c>
      <c r="L19" s="27" t="inlineStr">
        <is>
          <t>Electrical / power distribution</t>
        </is>
      </c>
      <c r="M19" s="27" t="n">
        <v>3</v>
      </c>
      <c r="N19" s="27" t="n">
        <v>12</v>
      </c>
      <c r="O19" s="28" t="inlineStr">
        <is>
          <t>https://www.eaton.com/content/dam/eaton/company/investor-relations/quarterly-earnings/filings/2025/q4/4Q-2025-analyst-presentation.pdf</t>
        </is>
      </c>
      <c r="P19" s="29">
        <f>DATE(YEAR(B19),MONTH(B19),1)</f>
        <v/>
      </c>
      <c r="Q19" s="30">
        <f>IFERROR(INDEX('Market Data'!$B$2:$B$60,MATCH(P19,'Market Data'!$A$2:$A$60,0)),"")</f>
        <v/>
      </c>
      <c r="R19" s="31">
        <f>IFERROR(INDEX('Market Data'!$B$2:$B$60,MATCH(EDATE(P19,1),'Market Data'!$A$2:$A$60,0))/Q19-1,"")</f>
        <v/>
      </c>
      <c r="S19" s="31">
        <f>IFERROR(INDEX('Market Data'!$B$2:$B$60,MATCH(EDATE(P19,3),'Market Data'!$A$2:$A$60,0))/Q19-1,"")</f>
        <v/>
      </c>
      <c r="T19" s="31">
        <f>IFERROR(INDEX('Market Data'!$B$2:$B$60,MATCH(EDATE(P19,6),'Market Data'!$A$2:$A$60,0))/Q19-1,"")</f>
        <v/>
      </c>
      <c r="U19" s="31">
        <f>IFERROR(INDEX('Market Data'!$B$2:$B$60,MATCH(EDATE(P19,9),'Market Data'!$A$2:$A$60,0))/Q19-1,"")</f>
        <v/>
      </c>
      <c r="V19" s="29">
        <f>IFERROR(MINIFS('Market Data'!$A$2:$A$60,'Market Data'!$A$2:$A$60,"&gt;"&amp;P19,'Market Data'!$D$2:$D$60,1),"")</f>
        <v/>
      </c>
      <c r="W19" s="32">
        <f>IF(V19="","",DATEDIF(P19,V19,"m"))</f>
        <v/>
      </c>
      <c r="X19" s="33" t="inlineStr">
        <is>
          <t>Candidate leading signal in power-constrained regime.</t>
        </is>
      </c>
    </row>
    <row r="20">
      <c r="A20" s="15" t="n">
        <v>19</v>
      </c>
      <c r="B20" s="23" t="n">
        <v>46064</v>
      </c>
      <c r="C20" s="24" t="inlineStr">
        <is>
          <t>Vertiv</t>
        </is>
      </c>
      <c r="D20" s="24" t="inlineStr">
        <is>
          <t>VRT</t>
        </is>
      </c>
      <c r="E20" s="24" t="inlineStr">
        <is>
          <t>Cooling / power</t>
        </is>
      </c>
      <c r="F20" s="24" t="inlineStr">
        <is>
          <t>Upstream physical</t>
        </is>
      </c>
      <c r="G20" s="25" t="n">
        <v>1</v>
      </c>
      <c r="H20" s="24" t="inlineStr">
        <is>
          <t>Power-constrained</t>
        </is>
      </c>
      <c r="I20" s="24" t="inlineStr">
        <is>
          <t>Critical-infrastructure order explosion</t>
        </is>
      </c>
      <c r="J20" s="24" t="inlineStr">
        <is>
          <t>Q4 orders +252% YoY / +117% sequential; B2B ~2.9x; backlog $15B</t>
        </is>
      </c>
      <c r="K20" s="26" t="n">
        <v>5</v>
      </c>
      <c r="L20" s="27" t="inlineStr">
        <is>
          <t>Cooling / UPS / power</t>
        </is>
      </c>
      <c r="M20" s="27" t="n">
        <v>3</v>
      </c>
      <c r="N20" s="27" t="n">
        <v>12</v>
      </c>
      <c r="O20" s="28" t="inlineStr">
        <is>
          <t>https://investors.vertiv.com/news/news-details/2026/Vertiv-Reports-Strong-Fourth-Quarter-with-Organic-Orders-Growth-of-252-and-Diluted-EPS-Growth-of-200-Adjusted-Diluted-EPS-37/</t>
        </is>
      </c>
      <c r="P20" s="29">
        <f>DATE(YEAR(B20),MONTH(B20),1)</f>
        <v/>
      </c>
      <c r="Q20" s="30">
        <f>IFERROR(INDEX('Market Data'!$B$2:$B$60,MATCH(P20,'Market Data'!$A$2:$A$60,0)),"")</f>
        <v/>
      </c>
      <c r="R20" s="31">
        <f>IFERROR(INDEX('Market Data'!$B$2:$B$60,MATCH(EDATE(P20,1),'Market Data'!$A$2:$A$60,0))/Q20-1,"")</f>
        <v/>
      </c>
      <c r="S20" s="31">
        <f>IFERROR(INDEX('Market Data'!$B$2:$B$60,MATCH(EDATE(P20,3),'Market Data'!$A$2:$A$60,0))/Q20-1,"")</f>
        <v/>
      </c>
      <c r="T20" s="31">
        <f>IFERROR(INDEX('Market Data'!$B$2:$B$60,MATCH(EDATE(P20,6),'Market Data'!$A$2:$A$60,0))/Q20-1,"")</f>
        <v/>
      </c>
      <c r="U20" s="31">
        <f>IFERROR(INDEX('Market Data'!$B$2:$B$60,MATCH(EDATE(P20,9),'Market Data'!$A$2:$A$60,0))/Q20-1,"")</f>
        <v/>
      </c>
      <c r="V20" s="29">
        <f>IFERROR(MINIFS('Market Data'!$A$2:$A$60,'Market Data'!$A$2:$A$60,"&gt;"&amp;P20,'Market Data'!$D$2:$D$60,1),"")</f>
        <v/>
      </c>
      <c r="W20" s="32">
        <f>IF(V20="","",DATEDIF(P20,V20,"m"))</f>
        <v/>
      </c>
      <c r="X20" s="33" t="inlineStr">
        <is>
          <t>Candidate leading signal in power-constrained regime.</t>
        </is>
      </c>
    </row>
    <row r="21">
      <c r="A21" s="15" t="n">
        <v>20</v>
      </c>
      <c r="B21" s="23" t="n">
        <v>46079</v>
      </c>
      <c r="C21" s="24" t="inlineStr">
        <is>
          <t>EMCOR</t>
        </is>
      </c>
      <c r="D21" s="24" t="inlineStr">
        <is>
          <t>EME</t>
        </is>
      </c>
      <c r="E21" s="24" t="inlineStr">
        <is>
          <t>Construction / MEP</t>
        </is>
      </c>
      <c r="F21" s="24" t="inlineStr">
        <is>
          <t>Upstream physical</t>
        </is>
      </c>
      <c r="G21" s="25" t="n">
        <v>0</v>
      </c>
      <c r="H21" s="24" t="inlineStr">
        <is>
          <t>Power-constrained</t>
        </is>
      </c>
      <c r="I21" s="24" t="inlineStr">
        <is>
          <t>Construction backlog hits record; network/communications led growth</t>
        </is>
      </c>
      <c r="J21" s="24" t="inlineStr">
        <is>
          <t>RPO $13.25B, +31.2% YoY; data-center construction a major 2025 growth driver</t>
        </is>
      </c>
      <c r="K21" s="26" t="n">
        <v>3</v>
      </c>
      <c r="L21" s="27" t="inlineStr">
        <is>
          <t>MEP / construction</t>
        </is>
      </c>
      <c r="M21" s="27" t="n">
        <v>6</v>
      </c>
      <c r="N21" s="27" t="n">
        <v>18</v>
      </c>
      <c r="O21" s="28" t="inlineStr">
        <is>
          <t>https://emcorgroup.com/investor-relations/press-releases/2026-news/emcor-group-inc-reports-fourth-quarter-and-full-year-2025-results</t>
        </is>
      </c>
      <c r="P21" s="29">
        <f>DATE(YEAR(B21),MONTH(B21),1)</f>
        <v/>
      </c>
      <c r="Q21" s="30">
        <f>IFERROR(INDEX('Market Data'!$B$2:$B$60,MATCH(P21,'Market Data'!$A$2:$A$60,0)),"")</f>
        <v/>
      </c>
      <c r="R21" s="31">
        <f>IFERROR(INDEX('Market Data'!$B$2:$B$60,MATCH(EDATE(P21,1),'Market Data'!$A$2:$A$60,0))/Q21-1,"")</f>
        <v/>
      </c>
      <c r="S21" s="31">
        <f>IFERROR(INDEX('Market Data'!$B$2:$B$60,MATCH(EDATE(P21,3),'Market Data'!$A$2:$A$60,0))/Q21-1,"")</f>
        <v/>
      </c>
      <c r="T21" s="31">
        <f>IFERROR(INDEX('Market Data'!$B$2:$B$60,MATCH(EDATE(P21,6),'Market Data'!$A$2:$A$60,0))/Q21-1,"")</f>
        <v/>
      </c>
      <c r="U21" s="31">
        <f>IFERROR(INDEX('Market Data'!$B$2:$B$60,MATCH(EDATE(P21,9),'Market Data'!$A$2:$A$60,0))/Q21-1,"")</f>
        <v/>
      </c>
      <c r="V21" s="29">
        <f>IFERROR(MINIFS('Market Data'!$A$2:$A$60,'Market Data'!$A$2:$A$60,"&gt;"&amp;P21,'Market Data'!$D$2:$D$60,1),"")</f>
        <v/>
      </c>
      <c r="W21" s="32">
        <f>IF(V21="","",DATEDIF(P21,V21,"m"))</f>
        <v/>
      </c>
      <c r="X21" s="33" t="inlineStr">
        <is>
          <t>Candidate leading signal in power-constrained regime.</t>
        </is>
      </c>
    </row>
    <row r="22">
      <c r="A22" s="15" t="n">
        <v>21</v>
      </c>
      <c r="B22" s="23" t="n">
        <v>46147</v>
      </c>
      <c r="C22" s="24" t="inlineStr">
        <is>
          <t>Eaton</t>
        </is>
      </c>
      <c r="D22" s="24" t="inlineStr">
        <is>
          <t>ETN</t>
        </is>
      </c>
      <c r="E22" s="24" t="inlineStr">
        <is>
          <t>Electrical / cooling</t>
        </is>
      </c>
      <c r="F22" s="24" t="inlineStr">
        <is>
          <t>Confirmation</t>
        </is>
      </c>
      <c r="G22" s="25" t="n">
        <v>0</v>
      </c>
      <c r="H22" s="24" t="inlineStr">
        <is>
          <t>Power-constrained</t>
        </is>
      </c>
      <c r="I22" s="24" t="inlineStr">
        <is>
          <t>Data-center orders still compounding after SOXX breakout began</t>
        </is>
      </c>
      <c r="J22" s="24" t="inlineStr">
        <is>
          <t>Q1 data-center orders +~240% YoY; revenue +~50%</t>
        </is>
      </c>
      <c r="K22" s="26" t="n">
        <v>5</v>
      </c>
      <c r="L22" s="27" t="inlineStr">
        <is>
          <t>Electrical / power distribution</t>
        </is>
      </c>
      <c r="M22" s="27" t="n">
        <v>0</v>
      </c>
      <c r="N22" s="27" t="n">
        <v>9</v>
      </c>
      <c r="O22" s="28" t="inlineStr">
        <is>
          <t>https://www.eaton.com/content/dam/eaton/company/investor-relations/quarterly-earnings/filings/2026/q1/q1-2026-analyst-presentation.pdf</t>
        </is>
      </c>
      <c r="P22" s="29">
        <f>DATE(YEAR(B22),MONTH(B22),1)</f>
        <v/>
      </c>
      <c r="Q22" s="30">
        <f>IFERROR(INDEX('Market Data'!$B$2:$B$60,MATCH(P22,'Market Data'!$A$2:$A$60,0)),"")</f>
        <v/>
      </c>
      <c r="R22" s="31">
        <f>IFERROR(INDEX('Market Data'!$B$2:$B$60,MATCH(EDATE(P22,1),'Market Data'!$A$2:$A$60,0))/Q22-1,"")</f>
        <v/>
      </c>
      <c r="S22" s="31">
        <f>IFERROR(INDEX('Market Data'!$B$2:$B$60,MATCH(EDATE(P22,3),'Market Data'!$A$2:$A$60,0))/Q22-1,"")</f>
        <v/>
      </c>
      <c r="T22" s="31">
        <f>IFERROR(INDEX('Market Data'!$B$2:$B$60,MATCH(EDATE(P22,6),'Market Data'!$A$2:$A$60,0))/Q22-1,"")</f>
        <v/>
      </c>
      <c r="U22" s="31">
        <f>IFERROR(INDEX('Market Data'!$B$2:$B$60,MATCH(EDATE(P22,9),'Market Data'!$A$2:$A$60,0))/Q22-1,"")</f>
        <v/>
      </c>
      <c r="V22" s="29">
        <f>IFERROR(MINIFS('Market Data'!$A$2:$A$60,'Market Data'!$A$2:$A$60,"&gt;"&amp;P22,'Market Data'!$D$2:$D$60,1),"")</f>
        <v/>
      </c>
      <c r="W22" s="32">
        <f>IF(V22="","",DATEDIF(P22,V22,"m"))</f>
        <v/>
      </c>
      <c r="X22" s="33" t="inlineStr">
        <is>
          <t>Late confirmation / revenue stage; not treated as a leading backtest event.</t>
        </is>
      </c>
    </row>
    <row r="23">
      <c r="A23" s="15" t="n">
        <v>22</v>
      </c>
      <c r="B23" s="23" t="n">
        <v>46170</v>
      </c>
      <c r="C23" s="24" t="inlineStr">
        <is>
          <t>Dell</t>
        </is>
      </c>
      <c r="D23" s="24" t="inlineStr">
        <is>
          <t>DELL</t>
        </is>
      </c>
      <c r="E23" s="24" t="inlineStr">
        <is>
          <t>Servers / racks</t>
        </is>
      </c>
      <c r="F23" s="24" t="inlineStr">
        <is>
          <t>Confirmation</t>
        </is>
      </c>
      <c r="G23" s="25" t="n">
        <v>0</v>
      </c>
      <c r="H23" s="24" t="inlineStr">
        <is>
          <t>Power-constrained</t>
        </is>
      </c>
      <c r="I23" s="24" t="inlineStr">
        <is>
          <t>Server orders/revenue confirm hardware monetization</t>
        </is>
      </c>
      <c r="J23" s="24" t="inlineStr">
        <is>
          <t>AI orders $24.4B; AI server revenue $16.1B</t>
        </is>
      </c>
      <c r="K23" s="26" t="n">
        <v>5</v>
      </c>
      <c r="L23" s="27" t="inlineStr">
        <is>
          <t>Server / rack orders</t>
        </is>
      </c>
      <c r="M23" s="27" t="n">
        <v>0</v>
      </c>
      <c r="N23" s="27" t="n">
        <v>3</v>
      </c>
      <c r="O23" s="28" t="inlineStr">
        <is>
          <t>https://www.dell.com/en-us/dt/corporate/newsroom/announcements/detailpage.press-releases~usa~2026~05~dell-technologies-delivers-first-quarter-fiscal-2027-financial-results.htm</t>
        </is>
      </c>
      <c r="P23" s="29">
        <f>DATE(YEAR(B23),MONTH(B23),1)</f>
        <v/>
      </c>
      <c r="Q23" s="30">
        <f>IFERROR(INDEX('Market Data'!$B$2:$B$60,MATCH(P23,'Market Data'!$A$2:$A$60,0)),"")</f>
        <v/>
      </c>
      <c r="R23" s="31">
        <f>IFERROR(INDEX('Market Data'!$B$2:$B$60,MATCH(EDATE(P23,1),'Market Data'!$A$2:$A$60,0))/Q23-1,"")</f>
        <v/>
      </c>
      <c r="S23" s="31">
        <f>IFERROR(INDEX('Market Data'!$B$2:$B$60,MATCH(EDATE(P23,3),'Market Data'!$A$2:$A$60,0))/Q23-1,"")</f>
        <v/>
      </c>
      <c r="T23" s="31">
        <f>IFERROR(INDEX('Market Data'!$B$2:$B$60,MATCH(EDATE(P23,6),'Market Data'!$A$2:$A$60,0))/Q23-1,"")</f>
        <v/>
      </c>
      <c r="U23" s="31">
        <f>IFERROR(INDEX('Market Data'!$B$2:$B$60,MATCH(EDATE(P23,9),'Market Data'!$A$2:$A$60,0))/Q23-1,"")</f>
        <v/>
      </c>
      <c r="V23" s="29">
        <f>IFERROR(MINIFS('Market Data'!$A$2:$A$60,'Market Data'!$A$2:$A$60,"&gt;"&amp;P23,'Market Data'!$D$2:$D$60,1),"")</f>
        <v/>
      </c>
      <c r="W23" s="32">
        <f>IF(V23="","",DATEDIF(P23,V23,"m"))</f>
        <v/>
      </c>
      <c r="X23" s="33" t="inlineStr">
        <is>
          <t>Late confirmation / revenue stage; not treated as a leading backtest event.</t>
        </is>
      </c>
    </row>
    <row r="24">
      <c r="A24" s="15" t="n">
        <v>23</v>
      </c>
      <c r="B24" s="23" t="n">
        <v>46266</v>
      </c>
      <c r="C24" s="24" t="inlineStr">
        <is>
          <t>Dell</t>
        </is>
      </c>
      <c r="D24" s="24" t="inlineStr">
        <is>
          <t>DELL</t>
        </is>
      </c>
      <c r="E24" s="24" t="inlineStr">
        <is>
          <t>Servers / racks</t>
        </is>
      </c>
      <c r="F24" s="24" t="inlineStr">
        <is>
          <t>Current late-stage confirmation</t>
        </is>
      </c>
      <c r="G24" s="25" t="n">
        <v>0</v>
      </c>
      <c r="H24" s="24" t="inlineStr">
        <is>
          <t>Current</t>
        </is>
      </c>
      <c r="I24" s="24" t="inlineStr">
        <is>
          <t>Current cycle is already deep into server monetization</t>
        </is>
      </c>
      <c r="J24" s="24" t="inlineStr">
        <is>
          <t>AI orders $60.9B; AI server revenue $16.4B; backlog $95B</t>
        </is>
      </c>
      <c r="K24" s="26" t="n">
        <v>5</v>
      </c>
      <c r="L24" s="27" t="inlineStr">
        <is>
          <t>Server / rack orders</t>
        </is>
      </c>
      <c r="M24" s="27" t="n">
        <v>0</v>
      </c>
      <c r="N24" s="27" t="n">
        <v>3</v>
      </c>
      <c r="O24" s="28" t="inlineStr">
        <is>
          <t>https://www.dell.com/en-us/dt/corporate/newsroom/announcements/detailpage.press-releases~usa~2026~09~dell-technologies-delivers-second-quarter-fiscal-2027-financial-results.htm</t>
        </is>
      </c>
      <c r="P24" s="29">
        <f>DATE(YEAR(B24),MONTH(B24),1)</f>
        <v/>
      </c>
      <c r="Q24" s="30">
        <f>IFERROR(INDEX('Market Data'!$B$2:$B$60,MATCH(P24,'Market Data'!$A$2:$A$60,0)),"")</f>
        <v/>
      </c>
      <c r="R24" s="31">
        <f>IFERROR(INDEX('Market Data'!$B$2:$B$60,MATCH(EDATE(P24,1),'Market Data'!$A$2:$A$60,0))/Q24-1,"")</f>
        <v/>
      </c>
      <c r="S24" s="31">
        <f>IFERROR(INDEX('Market Data'!$B$2:$B$60,MATCH(EDATE(P24,3),'Market Data'!$A$2:$A$60,0))/Q24-1,"")</f>
        <v/>
      </c>
      <c r="T24" s="31">
        <f>IFERROR(INDEX('Market Data'!$B$2:$B$60,MATCH(EDATE(P24,6),'Market Data'!$A$2:$A$60,0))/Q24-1,"")</f>
        <v/>
      </c>
      <c r="U24" s="31">
        <f>IFERROR(INDEX('Market Data'!$B$2:$B$60,MATCH(EDATE(P24,9),'Market Data'!$A$2:$A$60,0))/Q24-1,"")</f>
        <v/>
      </c>
      <c r="V24" s="29">
        <f>IFERROR(MINIFS('Market Data'!$A$2:$A$60,'Market Data'!$A$2:$A$60,"&gt;"&amp;P24,'Market Data'!$D$2:$D$60,1),"")</f>
        <v/>
      </c>
      <c r="W24" s="32">
        <f>IF(V24="","",DATEDIF(P24,V24,"m"))</f>
        <v/>
      </c>
      <c r="X24" s="33" t="inlineStr">
        <is>
          <t>Late confirmation / revenue stage; not treated as a leading backtest event.</t>
        </is>
      </c>
    </row>
  </sheetData>
  <autoFilter ref="A1:X24"/>
  <conditionalFormatting sqref="R2:U24">
    <cfRule type="colorScale" priority="1">
      <colorScale>
        <cfvo type="num" val="-0.2"/>
        <cfvo type="num" val="0"/>
        <cfvo type="num" val="0.6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AE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>
      <c r="A1" s="34" t="inlineStr">
        <is>
          <t>Physical Contract → Chip Revenue → Compute Revenue Clock</t>
        </is>
      </c>
    </row>
    <row r="2">
      <c r="A2" s="2" t="inlineStr">
        <is>
          <t>The stages overlap. The model is a timing framework anchored to public supplier lead-times, not a deterministic sequence.</t>
        </is>
      </c>
    </row>
    <row r="3"/>
    <row r="4" ht="38" customHeight="1">
      <c r="A4" s="4" t="inlineStr">
        <is>
          <t>#</t>
        </is>
      </c>
      <c r="B4" s="4" t="inlineStr">
        <is>
          <t>Stage</t>
        </is>
      </c>
      <c r="C4" s="4" t="inlineStr">
        <is>
          <t>Public Observable</t>
        </is>
      </c>
      <c r="D4" s="4" t="inlineStr">
        <is>
          <t>Lead to Compute Live Min (mo)</t>
        </is>
      </c>
      <c r="E4" s="4" t="inlineStr">
        <is>
          <t>Lead to Compute Live Max (mo)</t>
        </is>
      </c>
      <c r="F4" s="4" t="inlineStr">
        <is>
          <t>Lead to Chip Revenue Min (mo)</t>
        </is>
      </c>
      <c r="G4" s="4" t="inlineStr">
        <is>
          <t>Lead to Chip Revenue Max (mo)</t>
        </is>
      </c>
      <c r="H4" s="4" t="inlineStr">
        <is>
          <t>Research Read</t>
        </is>
      </c>
    </row>
    <row r="5">
      <c r="A5" s="35" t="inlineStr">
        <is>
          <t>1</t>
        </is>
      </c>
      <c r="B5" s="36" t="inlineStr">
        <is>
          <t>Generation / utility commitment</t>
        </is>
      </c>
      <c r="C5" s="36" t="inlineStr">
        <is>
          <t>PPA, utility service, behind-the-meter generation contract, turbine/genset PO</t>
        </is>
      </c>
      <c r="D5" s="27" t="n">
        <v>12</v>
      </c>
      <c r="E5" s="27" t="n">
        <v>36</v>
      </c>
      <c r="F5" s="27" t="n">
        <v>6</v>
      </c>
      <c r="G5" s="27" t="n">
        <v>18</v>
      </c>
      <c r="H5" s="36" t="inlineStr">
        <is>
          <t>Earliest physical de-risking. Direct BTM can be faster than grid projects. CAT Monarch gives an explicit 8–19 month equipment-delivery window plus commissioning.</t>
        </is>
      </c>
    </row>
    <row r="6">
      <c r="A6" s="35" t="inlineStr">
        <is>
          <t>2</t>
        </is>
      </c>
      <c r="B6" s="36" t="inlineStr">
        <is>
          <t>MEP / construction award</t>
        </is>
      </c>
      <c r="C6" s="36" t="inlineStr">
        <is>
          <t>EPC award, RPO/backlog, electrical/mechanical construction start</t>
        </is>
      </c>
      <c r="D6" s="27" t="n">
        <v>9</v>
      </c>
      <c r="E6" s="27" t="n">
        <v>24</v>
      </c>
      <c r="F6" s="27" t="n">
        <v>3</v>
      </c>
      <c r="G6" s="27" t="n">
        <v>15</v>
      </c>
      <c r="H6" s="36" t="inlineStr">
        <is>
          <t>Construction often spans multiple years; useful when data-center-specific, less useful when mixed end markets.</t>
        </is>
      </c>
    </row>
    <row r="7">
      <c r="A7" s="35" t="inlineStr">
        <is>
          <t>3</t>
        </is>
      </c>
      <c r="B7" s="36" t="inlineStr">
        <is>
          <t>Electrical + cooling orders</t>
        </is>
      </c>
      <c r="C7" s="36" t="inlineStr">
        <is>
          <t>Switchgear, transformers, UPS, liquid cooling, busway, power distribution</t>
        </is>
      </c>
      <c r="D7" s="27" t="n">
        <v>9</v>
      </c>
      <c r="E7" s="27" t="n">
        <v>18</v>
      </c>
      <c r="F7" s="27" t="n">
        <v>3</v>
      </c>
      <c r="G7" s="27" t="n">
        <v>12</v>
      </c>
      <c r="H7" s="36" t="inlineStr">
        <is>
          <t>Potentially the best public leading signal in the power-constrained regime. Vertiv says most 2025 backlog is expected to ship within 12–18 months.</t>
        </is>
      </c>
    </row>
    <row r="8">
      <c r="A8" s="35" t="inlineStr">
        <is>
          <t>4</t>
        </is>
      </c>
      <c r="B8" s="36" t="inlineStr">
        <is>
          <t>HBM / foundry / packaging allocation</t>
        </is>
      </c>
      <c r="C8" s="36" t="inlineStr">
        <is>
          <t>HBM agreements, wafer reservations, CoWoS capacity commitments</t>
        </is>
      </c>
      <c r="D8" s="27" t="n">
        <v>6</v>
      </c>
      <c r="E8" s="27" t="n">
        <v>18</v>
      </c>
      <c r="F8" s="27" t="n">
        <v>0</v>
      </c>
      <c r="G8" s="27" t="n">
        <v>12</v>
      </c>
      <c r="H8" s="36" t="inlineStr">
        <is>
          <t>Hardware procurement overlaps infrastructure build; not strictly sequential. SK hynix/Micron show customers reserve HBM roughly a year ahead.</t>
        </is>
      </c>
    </row>
    <row r="9">
      <c r="A9" s="35" t="inlineStr">
        <is>
          <t>5</t>
        </is>
      </c>
      <c r="B9" s="36" t="inlineStr">
        <is>
          <t>Server / rack order</t>
        </is>
      </c>
      <c r="C9" s="36" t="inlineStr">
        <is>
          <t>AI-server PO, rack integration, ODM backlog</t>
        </is>
      </c>
      <c r="D9" s="27" t="n">
        <v>1</v>
      </c>
      <c r="E9" s="27" t="n">
        <v>6</v>
      </c>
      <c r="F9" s="27" t="n">
        <v>0</v>
      </c>
      <c r="G9" s="27" t="n">
        <v>3</v>
      </c>
      <c r="H9" s="36" t="inlineStr">
        <is>
          <t>Late bridge from component allocation to delivered systems. Dell backlog/orders provide observable confirmation.</t>
        </is>
      </c>
    </row>
    <row r="10">
      <c r="A10" s="35" t="inlineStr">
        <is>
          <t>6</t>
        </is>
      </c>
      <c r="B10" s="36" t="inlineStr">
        <is>
          <t>Chip vendor revenue</t>
        </is>
      </c>
      <c r="C10" s="36" t="inlineStr">
        <is>
          <t>Accelerator, memory, networking and foundry revenue recognition</t>
        </is>
      </c>
      <c r="D10" s="27" t="n">
        <v>0</v>
      </c>
      <c r="E10" s="27" t="n">
        <v>6</v>
      </c>
      <c r="F10" s="27" t="n">
        <v>0</v>
      </c>
      <c r="G10" s="27" t="n">
        <v>0</v>
      </c>
      <c r="H10" s="36" t="inlineStr">
        <is>
          <t>Usually recognized before or around server delivery/commissioning, not after the data center is fully operational.</t>
        </is>
      </c>
    </row>
    <row r="11">
      <c r="A11" s="35" t="inlineStr">
        <is>
          <t>7</t>
        </is>
      </c>
      <c r="B11" s="36" t="inlineStr">
        <is>
          <t>Commissioning / compute revenue</t>
        </is>
      </c>
      <c r="C11" s="36" t="inlineStr">
        <is>
          <t>Power-on, rack burn-in, customer acceptance, cloud/compute billing</t>
        </is>
      </c>
      <c r="D11" s="27" t="n">
        <v>0</v>
      </c>
      <c r="E11" s="27" t="n">
        <v>3</v>
      </c>
      <c r="F11" s="27" t="n">
        <v>0</v>
      </c>
      <c r="G11" s="27" t="n">
        <v>0</v>
      </c>
      <c r="H11" s="36" t="inlineStr">
        <is>
          <t>T = compute live. Compute revenue begins only after power + cooling + systems are ready.</t>
        </is>
      </c>
    </row>
    <row r="12"/>
    <row r="13"/>
    <row r="14" ht="20" customHeight="1">
      <c r="A14" s="3" t="inlineStr">
        <is>
          <t>Relative timeline (T = compute live)</t>
        </is>
      </c>
    </row>
    <row r="15">
      <c r="A15" s="37" t="inlineStr">
        <is>
          <t>Stage</t>
        </is>
      </c>
      <c r="B15" s="37" t="inlineStr">
        <is>
          <t>Earliest</t>
        </is>
      </c>
      <c r="C15" s="37" t="inlineStr">
        <is>
          <t>Latest</t>
        </is>
      </c>
      <c r="D15" s="38" t="inlineStr">
        <is>
          <t>T-24</t>
        </is>
      </c>
      <c r="E15" s="38" t="inlineStr">
        <is>
          <t>T-23</t>
        </is>
      </c>
      <c r="F15" s="38" t="inlineStr">
        <is>
          <t>T-22</t>
        </is>
      </c>
      <c r="G15" s="38" t="inlineStr">
        <is>
          <t>T-21</t>
        </is>
      </c>
      <c r="H15" s="38" t="inlineStr">
        <is>
          <t>T-20</t>
        </is>
      </c>
      <c r="I15" s="38" t="inlineStr">
        <is>
          <t>T-19</t>
        </is>
      </c>
      <c r="J15" s="38" t="inlineStr">
        <is>
          <t>T-18</t>
        </is>
      </c>
      <c r="K15" s="38" t="inlineStr">
        <is>
          <t>T-17</t>
        </is>
      </c>
      <c r="L15" s="38" t="inlineStr">
        <is>
          <t>T-16</t>
        </is>
      </c>
      <c r="M15" s="38" t="inlineStr">
        <is>
          <t>T-15</t>
        </is>
      </c>
      <c r="N15" s="38" t="inlineStr">
        <is>
          <t>T-14</t>
        </is>
      </c>
      <c r="O15" s="38" t="inlineStr">
        <is>
          <t>T-13</t>
        </is>
      </c>
      <c r="P15" s="38" t="inlineStr">
        <is>
          <t>T-12</t>
        </is>
      </c>
      <c r="Q15" s="38" t="inlineStr">
        <is>
          <t>T-11</t>
        </is>
      </c>
      <c r="R15" s="38" t="inlineStr">
        <is>
          <t>T-10</t>
        </is>
      </c>
      <c r="S15" s="38" t="inlineStr">
        <is>
          <t>T-9</t>
        </is>
      </c>
      <c r="T15" s="38" t="inlineStr">
        <is>
          <t>T-8</t>
        </is>
      </c>
      <c r="U15" s="38" t="inlineStr">
        <is>
          <t>T-7</t>
        </is>
      </c>
      <c r="V15" s="38" t="inlineStr">
        <is>
          <t>T-6</t>
        </is>
      </c>
      <c r="W15" s="38" t="inlineStr">
        <is>
          <t>T-5</t>
        </is>
      </c>
      <c r="X15" s="38" t="inlineStr">
        <is>
          <t>T-4</t>
        </is>
      </c>
      <c r="Y15" s="38" t="inlineStr">
        <is>
          <t>T-3</t>
        </is>
      </c>
      <c r="Z15" s="38" t="inlineStr">
        <is>
          <t>T-2</t>
        </is>
      </c>
      <c r="AA15" s="38" t="inlineStr">
        <is>
          <t>T-1</t>
        </is>
      </c>
      <c r="AB15" s="38" t="inlineStr">
        <is>
          <t>T0</t>
        </is>
      </c>
      <c r="AC15" s="38" t="inlineStr">
        <is>
          <t>T+1</t>
        </is>
      </c>
      <c r="AD15" s="38" t="inlineStr">
        <is>
          <t>T+2</t>
        </is>
      </c>
      <c r="AE15" s="38" t="inlineStr">
        <is>
          <t>T+3</t>
        </is>
      </c>
    </row>
    <row r="16" ht="18" customHeight="1">
      <c r="A16" s="39" t="inlineStr">
        <is>
          <t>Power / generation</t>
        </is>
      </c>
      <c r="B16" s="6" t="n">
        <v>-24</v>
      </c>
      <c r="C16" s="6" t="n">
        <v>-9</v>
      </c>
      <c r="D16" s="40" t="inlineStr">
        <is>
          <t>●</t>
        </is>
      </c>
      <c r="E16" s="40" t="inlineStr">
        <is>
          <t>●</t>
        </is>
      </c>
      <c r="F16" s="40" t="inlineStr">
        <is>
          <t>●</t>
        </is>
      </c>
      <c r="G16" s="40" t="inlineStr">
        <is>
          <t>●</t>
        </is>
      </c>
      <c r="H16" s="40" t="inlineStr">
        <is>
          <t>●</t>
        </is>
      </c>
      <c r="I16" s="40" t="inlineStr">
        <is>
          <t>●</t>
        </is>
      </c>
      <c r="J16" s="40" t="inlineStr">
        <is>
          <t>●</t>
        </is>
      </c>
      <c r="K16" s="40" t="inlineStr">
        <is>
          <t>●</t>
        </is>
      </c>
      <c r="L16" s="40" t="inlineStr">
        <is>
          <t>●</t>
        </is>
      </c>
      <c r="M16" s="40" t="inlineStr">
        <is>
          <t>●</t>
        </is>
      </c>
      <c r="N16" s="40" t="inlineStr">
        <is>
          <t>●</t>
        </is>
      </c>
      <c r="O16" s="40" t="inlineStr">
        <is>
          <t>●</t>
        </is>
      </c>
      <c r="P16" s="40" t="inlineStr">
        <is>
          <t>●</t>
        </is>
      </c>
      <c r="Q16" s="40" t="inlineStr">
        <is>
          <t>●</t>
        </is>
      </c>
      <c r="R16" s="40" t="inlineStr">
        <is>
          <t>●</t>
        </is>
      </c>
      <c r="S16" s="40" t="inlineStr">
        <is>
          <t>●</t>
        </is>
      </c>
    </row>
    <row r="17" ht="18" customHeight="1">
      <c r="A17" s="39" t="inlineStr">
        <is>
          <t>MEP / construction</t>
        </is>
      </c>
      <c r="B17" s="6" t="n">
        <v>-18</v>
      </c>
      <c r="C17" s="6" t="n">
        <v>-6</v>
      </c>
      <c r="J17" s="41" t="inlineStr">
        <is>
          <t>●</t>
        </is>
      </c>
      <c r="K17" s="41" t="inlineStr">
        <is>
          <t>●</t>
        </is>
      </c>
      <c r="L17" s="41" t="inlineStr">
        <is>
          <t>●</t>
        </is>
      </c>
      <c r="M17" s="41" t="inlineStr">
        <is>
          <t>●</t>
        </is>
      </c>
      <c r="N17" s="41" t="inlineStr">
        <is>
          <t>●</t>
        </is>
      </c>
      <c r="O17" s="41" t="inlineStr">
        <is>
          <t>●</t>
        </is>
      </c>
      <c r="P17" s="41" t="inlineStr">
        <is>
          <t>●</t>
        </is>
      </c>
      <c r="Q17" s="41" t="inlineStr">
        <is>
          <t>●</t>
        </is>
      </c>
      <c r="R17" s="41" t="inlineStr">
        <is>
          <t>●</t>
        </is>
      </c>
      <c r="S17" s="41" t="inlineStr">
        <is>
          <t>●</t>
        </is>
      </c>
      <c r="T17" s="41" t="inlineStr">
        <is>
          <t>●</t>
        </is>
      </c>
      <c r="U17" s="41" t="inlineStr">
        <is>
          <t>●</t>
        </is>
      </c>
      <c r="V17" s="41" t="inlineStr">
        <is>
          <t>●</t>
        </is>
      </c>
    </row>
    <row r="18" ht="18" customHeight="1">
      <c r="A18" s="39" t="inlineStr">
        <is>
          <t>Electrical / cooling</t>
        </is>
      </c>
      <c r="B18" s="6" t="n">
        <v>-18</v>
      </c>
      <c r="C18" s="6" t="n">
        <v>-6</v>
      </c>
      <c r="J18" s="42" t="inlineStr">
        <is>
          <t>●</t>
        </is>
      </c>
      <c r="K18" s="42" t="inlineStr">
        <is>
          <t>●</t>
        </is>
      </c>
      <c r="L18" s="42" t="inlineStr">
        <is>
          <t>●</t>
        </is>
      </c>
      <c r="M18" s="42" t="inlineStr">
        <is>
          <t>●</t>
        </is>
      </c>
      <c r="N18" s="42" t="inlineStr">
        <is>
          <t>●</t>
        </is>
      </c>
      <c r="O18" s="42" t="inlineStr">
        <is>
          <t>●</t>
        </is>
      </c>
      <c r="P18" s="42" t="inlineStr">
        <is>
          <t>●</t>
        </is>
      </c>
      <c r="Q18" s="42" t="inlineStr">
        <is>
          <t>●</t>
        </is>
      </c>
      <c r="R18" s="42" t="inlineStr">
        <is>
          <t>●</t>
        </is>
      </c>
      <c r="S18" s="42" t="inlineStr">
        <is>
          <t>●</t>
        </is>
      </c>
      <c r="T18" s="42" t="inlineStr">
        <is>
          <t>●</t>
        </is>
      </c>
      <c r="U18" s="42" t="inlineStr">
        <is>
          <t>●</t>
        </is>
      </c>
      <c r="V18" s="42" t="inlineStr">
        <is>
          <t>●</t>
        </is>
      </c>
    </row>
    <row r="19" ht="18" customHeight="1">
      <c r="A19" s="39" t="inlineStr">
        <is>
          <t>HBM / foundry / packaging</t>
        </is>
      </c>
      <c r="B19" s="6" t="n">
        <v>-18</v>
      </c>
      <c r="C19" s="6" t="n">
        <v>-6</v>
      </c>
      <c r="J19" s="43" t="inlineStr">
        <is>
          <t>●</t>
        </is>
      </c>
      <c r="K19" s="43" t="inlineStr">
        <is>
          <t>●</t>
        </is>
      </c>
      <c r="L19" s="43" t="inlineStr">
        <is>
          <t>●</t>
        </is>
      </c>
      <c r="M19" s="43" t="inlineStr">
        <is>
          <t>●</t>
        </is>
      </c>
      <c r="N19" s="43" t="inlineStr">
        <is>
          <t>●</t>
        </is>
      </c>
      <c r="O19" s="43" t="inlineStr">
        <is>
          <t>●</t>
        </is>
      </c>
      <c r="P19" s="43" t="inlineStr">
        <is>
          <t>●</t>
        </is>
      </c>
      <c r="Q19" s="43" t="inlineStr">
        <is>
          <t>●</t>
        </is>
      </c>
      <c r="R19" s="43" t="inlineStr">
        <is>
          <t>●</t>
        </is>
      </c>
      <c r="S19" s="43" t="inlineStr">
        <is>
          <t>●</t>
        </is>
      </c>
      <c r="T19" s="43" t="inlineStr">
        <is>
          <t>●</t>
        </is>
      </c>
      <c r="U19" s="43" t="inlineStr">
        <is>
          <t>●</t>
        </is>
      </c>
      <c r="V19" s="43" t="inlineStr">
        <is>
          <t>●</t>
        </is>
      </c>
    </row>
    <row r="20" ht="18" customHeight="1">
      <c r="A20" s="39" t="inlineStr">
        <is>
          <t>Server / rack orders</t>
        </is>
      </c>
      <c r="B20" s="6" t="n">
        <v>-6</v>
      </c>
      <c r="C20" s="6" t="n">
        <v>-1</v>
      </c>
      <c r="V20" s="44" t="inlineStr">
        <is>
          <t>●</t>
        </is>
      </c>
      <c r="W20" s="44" t="inlineStr">
        <is>
          <t>●</t>
        </is>
      </c>
      <c r="X20" s="44" t="inlineStr">
        <is>
          <t>●</t>
        </is>
      </c>
      <c r="Y20" s="44" t="inlineStr">
        <is>
          <t>●</t>
        </is>
      </c>
      <c r="Z20" s="44" t="inlineStr">
        <is>
          <t>●</t>
        </is>
      </c>
      <c r="AA20" s="44" t="inlineStr">
        <is>
          <t>●</t>
        </is>
      </c>
    </row>
    <row r="21" ht="18" customHeight="1">
      <c r="A21" s="39" t="inlineStr">
        <is>
          <t>Chip vendor revenue</t>
        </is>
      </c>
      <c r="B21" s="6" t="n">
        <v>-6</v>
      </c>
      <c r="C21" s="6" t="n">
        <v>0</v>
      </c>
      <c r="V21" s="45" t="inlineStr">
        <is>
          <t>●</t>
        </is>
      </c>
      <c r="W21" s="45" t="inlineStr">
        <is>
          <t>●</t>
        </is>
      </c>
      <c r="X21" s="45" t="inlineStr">
        <is>
          <t>●</t>
        </is>
      </c>
      <c r="Y21" s="45" t="inlineStr">
        <is>
          <t>●</t>
        </is>
      </c>
      <c r="Z21" s="45" t="inlineStr">
        <is>
          <t>●</t>
        </is>
      </c>
      <c r="AA21" s="45" t="inlineStr">
        <is>
          <t>●</t>
        </is>
      </c>
      <c r="AB21" s="45" t="inlineStr">
        <is>
          <t>●</t>
        </is>
      </c>
    </row>
    <row r="22" ht="18" customHeight="1">
      <c r="A22" s="39" t="inlineStr">
        <is>
          <t>Commissioning</t>
        </is>
      </c>
      <c r="B22" s="6" t="n">
        <v>-2</v>
      </c>
      <c r="C22" s="6" t="n">
        <v>0</v>
      </c>
      <c r="Z22" s="42" t="inlineStr">
        <is>
          <t>●</t>
        </is>
      </c>
      <c r="AA22" s="42" t="inlineStr">
        <is>
          <t>●</t>
        </is>
      </c>
      <c r="AB22" s="42" t="inlineStr">
        <is>
          <t>●</t>
        </is>
      </c>
    </row>
    <row r="23" ht="18" customHeight="1">
      <c r="A23" s="39" t="inlineStr">
        <is>
          <t>Compute revenue</t>
        </is>
      </c>
      <c r="B23" s="6" t="n">
        <v>0</v>
      </c>
      <c r="C23" s="6" t="n">
        <v>3</v>
      </c>
      <c r="AB23" s="46" t="inlineStr">
        <is>
          <t>●</t>
        </is>
      </c>
      <c r="AC23" s="46" t="inlineStr">
        <is>
          <t>●</t>
        </is>
      </c>
      <c r="AD23" s="46" t="inlineStr">
        <is>
          <t>●</t>
        </is>
      </c>
      <c r="AE23" s="46" t="inlineStr">
        <is>
          <t>●</t>
        </is>
      </c>
    </row>
  </sheetData>
  <mergeCells count="3">
    <mergeCell ref="A2:H2"/>
    <mergeCell ref="A14:AE14"/>
    <mergeCell ref="A1:H1"/>
  </mergeCell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P2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55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47" t="inlineStr">
        <is>
          <t>Exploratory Event Study: Do Physical Infrastructure Signals Lead SOXX?</t>
        </is>
      </c>
    </row>
    <row r="2">
      <c r="A2" s="17" t="inlineStr">
        <is>
          <t>Forward returns use event-month SOXX closes. Events are clustered and non-independent; results are hypothesis-generating, not causal evidence.</t>
        </is>
      </c>
    </row>
    <row r="3"/>
    <row r="4" ht="20" customHeight="1">
      <c r="A4" s="3" t="inlineStr">
        <is>
          <t>Summary statistics</t>
        </is>
      </c>
    </row>
    <row r="5">
      <c r="A5" s="4" t="inlineStr">
        <is>
          <t>Sample</t>
        </is>
      </c>
      <c r="B5" s="4" t="inlineStr">
        <is>
          <t>N</t>
        </is>
      </c>
      <c r="C5" s="4" t="inlineStr">
        <is>
          <t>Avg 1M</t>
        </is>
      </c>
      <c r="D5" s="4" t="inlineStr">
        <is>
          <t>Avg 3M</t>
        </is>
      </c>
      <c r="E5" s="4" t="inlineStr">
        <is>
          <t>Median 3M</t>
        </is>
      </c>
      <c r="F5" s="4" t="inlineStr">
        <is>
          <t>Avg 6M</t>
        </is>
      </c>
      <c r="G5" s="4" t="inlineStr">
        <is>
          <t>Median 6M</t>
        </is>
      </c>
      <c r="H5" s="4" t="inlineStr">
        <is>
          <t>Avg months to next &gt;=10% SOXX month</t>
        </is>
      </c>
    </row>
    <row r="6">
      <c r="A6" s="48" t="inlineStr">
        <is>
          <t>Demand-led</t>
        </is>
      </c>
      <c r="B6" s="6">
        <f>COUNTIFS('Supplier Signals'!$G$2:$G$100,1,'Supplier Signals'!$H$2:$H$100,"Demand-led")</f>
        <v/>
      </c>
      <c r="C6" s="7">
        <f>AVERAGEIFS('Supplier Signals'!$R$2:$R$100,'Supplier Signals'!$G$2:$G$100,1,'Supplier Signals'!$H$2:$H$100,"Demand-led")</f>
        <v/>
      </c>
      <c r="D6" s="7">
        <f>AVERAGEIFS('Supplier Signals'!$S$2:$S$100,'Supplier Signals'!$G$2:$G$100,1,'Supplier Signals'!$H$2:$H$100,"Demand-led")</f>
        <v/>
      </c>
      <c r="E6" s="7">
        <f>MEDIAN(M14:M27)</f>
        <v/>
      </c>
      <c r="F6" s="7">
        <f>AVERAGEIFS('Supplier Signals'!$T$2:$T$100,'Supplier Signals'!$G$2:$G$100,1,'Supplier Signals'!$H$2:$H$100,"Demand-led")</f>
        <v/>
      </c>
      <c r="G6" s="7">
        <f>MEDIAN(N14:N27)</f>
        <v/>
      </c>
      <c r="H6" s="8">
        <f>AVERAGEIFS('Supplier Signals'!$W$2:$W$100,'Supplier Signals'!$G$2:$G$100,1,'Supplier Signals'!$H$2:$H$100,"Demand-led")</f>
        <v/>
      </c>
    </row>
    <row r="7">
      <c r="A7" s="48" t="inlineStr">
        <is>
          <t>Transition</t>
        </is>
      </c>
      <c r="B7" s="6">
        <f>COUNTIFS('Supplier Signals'!$G$2:$G$100,1,'Supplier Signals'!$H$2:$H$100,"Transition")</f>
        <v/>
      </c>
      <c r="C7" s="7">
        <f>AVERAGEIFS('Supplier Signals'!$R$2:$R$100,'Supplier Signals'!$G$2:$G$100,1,'Supplier Signals'!$H$2:$H$100,"Transition")</f>
        <v/>
      </c>
      <c r="D7" s="7">
        <f>AVERAGEIFS('Supplier Signals'!$S$2:$S$100,'Supplier Signals'!$G$2:$G$100,1,'Supplier Signals'!$H$2:$H$100,"Transition")</f>
        <v/>
      </c>
      <c r="E7" s="7">
        <f>D7</f>
        <v/>
      </c>
      <c r="F7" s="7">
        <f>AVERAGEIFS('Supplier Signals'!$T$2:$T$100,'Supplier Signals'!$G$2:$G$100,1,'Supplier Signals'!$H$2:$H$100,"Transition")</f>
        <v/>
      </c>
      <c r="G7" s="7">
        <f>F7</f>
        <v/>
      </c>
      <c r="H7" s="8">
        <f>AVERAGEIFS('Supplier Signals'!$W$2:$W$100,'Supplier Signals'!$G$2:$G$100,1,'Supplier Signals'!$H$2:$H$100,"Transition")</f>
        <v/>
      </c>
    </row>
    <row r="8">
      <c r="A8" s="16" t="inlineStr">
        <is>
          <t>Power-constrained</t>
        </is>
      </c>
      <c r="B8" s="6">
        <f>COUNTIFS('Supplier Signals'!$G$2:$G$100,1,'Supplier Signals'!$H$2:$H$100,"Power-constrained")</f>
        <v/>
      </c>
      <c r="C8" s="7">
        <f>AVERAGEIFS('Supplier Signals'!$R$2:$R$100,'Supplier Signals'!$G$2:$G$100,1,'Supplier Signals'!$H$2:$H$100,"Power-constrained")</f>
        <v/>
      </c>
      <c r="D8" s="7">
        <f>AVERAGEIFS('Supplier Signals'!$S$2:$S$100,'Supplier Signals'!$G$2:$G$100,1,'Supplier Signals'!$H$2:$H$100,"Power-constrained")</f>
        <v/>
      </c>
      <c r="E8" s="7">
        <f>MEDIAN(O14:O27)</f>
        <v/>
      </c>
      <c r="F8" s="7">
        <f>AVERAGEIFS('Supplier Signals'!$T$2:$T$100,'Supplier Signals'!$G$2:$G$100,1,'Supplier Signals'!$H$2:$H$100,"Power-constrained")</f>
        <v/>
      </c>
      <c r="G8" s="7">
        <f>MEDIAN(P14:P27)</f>
        <v/>
      </c>
      <c r="H8" s="8">
        <f>AVERAGEIFS('Supplier Signals'!$W$2:$W$100,'Supplier Signals'!$G$2:$G$100,1,'Supplier Signals'!$H$2:$H$100,"Power-constrained")</f>
        <v/>
      </c>
    </row>
    <row r="9">
      <c r="A9" s="48" t="inlineStr">
        <is>
          <t>All upstream</t>
        </is>
      </c>
      <c r="B9" s="6">
        <f>COUNTIF('Supplier Signals'!$G$2:$G$100,1)</f>
        <v/>
      </c>
      <c r="C9" s="7">
        <f>AVERAGEIF('Supplier Signals'!$G$2:$G$100,1,'Supplier Signals'!$R$2:$R$100)</f>
        <v/>
      </c>
      <c r="D9" s="7">
        <f>AVERAGEIF('Supplier Signals'!$G$2:$G$100,1,'Supplier Signals'!$S$2:$S$100)</f>
        <v/>
      </c>
      <c r="E9" s="7">
        <f>MEDIAN(G14:G27)</f>
        <v/>
      </c>
      <c r="F9" s="7">
        <f>AVERAGEIF('Supplier Signals'!$G$2:$G$100,1,'Supplier Signals'!$T$2:$T$100)</f>
        <v/>
      </c>
      <c r="G9" s="7">
        <f>MEDIAN(H14:H27)</f>
        <v/>
      </c>
      <c r="H9" s="8">
        <f>AVERAGEIF('Supplier Signals'!$G$2:$G$100,1,'Supplier Signals'!$W$2:$W$100)</f>
        <v/>
      </c>
    </row>
    <row r="10"/>
    <row r="11"/>
    <row r="12" ht="20" customHeight="1">
      <c r="A12" s="3" t="inlineStr">
        <is>
          <t>Backtest event detail (upstream physical only)</t>
        </is>
      </c>
    </row>
    <row r="13">
      <c r="A13" s="4" t="inlineStr">
        <is>
          <t>Event Date</t>
        </is>
      </c>
      <c r="B13" s="4" t="inlineStr">
        <is>
          <t>Company</t>
        </is>
      </c>
      <c r="C13" s="4" t="inlineStr">
        <is>
          <t>Layer</t>
        </is>
      </c>
      <c r="D13" s="4" t="inlineStr">
        <is>
          <t>Regime</t>
        </is>
      </c>
      <c r="E13" s="4" t="inlineStr">
        <is>
          <t>Event</t>
        </is>
      </c>
      <c r="F13" s="4" t="inlineStr">
        <is>
          <t>1M</t>
        </is>
      </c>
      <c r="G13" s="4" t="inlineStr">
        <is>
          <t>3M</t>
        </is>
      </c>
      <c r="H13" s="4" t="inlineStr">
        <is>
          <t>6M</t>
        </is>
      </c>
      <c r="I13" s="4" t="inlineStr">
        <is>
          <t>9M</t>
        </is>
      </c>
      <c r="J13" s="4" t="inlineStr">
        <is>
          <t>Next &gt;=10% month</t>
        </is>
      </c>
      <c r="K13" s="4" t="inlineStr">
        <is>
          <t>Lead (mo)</t>
        </is>
      </c>
      <c r="L13" s="4" t="inlineStr">
        <is>
          <t>Source</t>
        </is>
      </c>
    </row>
    <row r="14">
      <c r="A14" s="23">
        <f>'Supplier Signals'!B2</f>
        <v/>
      </c>
      <c r="B14" s="24">
        <f>'Supplier Signals'!C2</f>
        <v/>
      </c>
      <c r="C14" s="24">
        <f>'Supplier Signals'!E2</f>
        <v/>
      </c>
      <c r="D14" s="24">
        <f>'Supplier Signals'!H2</f>
        <v/>
      </c>
      <c r="E14" s="24">
        <f>'Supplier Signals'!I2</f>
        <v/>
      </c>
      <c r="F14" s="49">
        <f>'Supplier Signals'!R2</f>
        <v/>
      </c>
      <c r="G14" s="49">
        <f>'Supplier Signals'!S2</f>
        <v/>
      </c>
      <c r="H14" s="49">
        <f>'Supplier Signals'!T2</f>
        <v/>
      </c>
      <c r="I14" s="49">
        <f>'Supplier Signals'!U2</f>
        <v/>
      </c>
      <c r="J14" s="50">
        <f>'Supplier Signals'!V2</f>
        <v/>
      </c>
      <c r="K14" s="51">
        <f>'Supplier Signals'!W2</f>
        <v/>
      </c>
      <c r="L14" s="24">
        <f>'Supplier Signals'!O2</f>
        <v/>
      </c>
      <c r="M14" s="6">
        <f>IF($D14="Demand-led",$G14,"")</f>
        <v/>
      </c>
      <c r="N14" s="6">
        <f>IF($D14="Demand-led",$H14,"")</f>
        <v/>
      </c>
      <c r="O14" s="6">
        <f>IF($D14="Power-constrained",$G14,"")</f>
        <v/>
      </c>
      <c r="P14" s="6">
        <f>IF($D14="Power-constrained",$H14,"")</f>
        <v/>
      </c>
    </row>
    <row r="15">
      <c r="A15" s="23">
        <f>'Supplier Signals'!B3</f>
        <v/>
      </c>
      <c r="B15" s="24">
        <f>'Supplier Signals'!C3</f>
        <v/>
      </c>
      <c r="C15" s="24">
        <f>'Supplier Signals'!E3</f>
        <v/>
      </c>
      <c r="D15" s="24">
        <f>'Supplier Signals'!H3</f>
        <v/>
      </c>
      <c r="E15" s="24">
        <f>'Supplier Signals'!I3</f>
        <v/>
      </c>
      <c r="F15" s="49">
        <f>'Supplier Signals'!R3</f>
        <v/>
      </c>
      <c r="G15" s="49">
        <f>'Supplier Signals'!S3</f>
        <v/>
      </c>
      <c r="H15" s="49">
        <f>'Supplier Signals'!T3</f>
        <v/>
      </c>
      <c r="I15" s="49">
        <f>'Supplier Signals'!U3</f>
        <v/>
      </c>
      <c r="J15" s="50">
        <f>'Supplier Signals'!V3</f>
        <v/>
      </c>
      <c r="K15" s="51">
        <f>'Supplier Signals'!W3</f>
        <v/>
      </c>
      <c r="L15" s="24">
        <f>'Supplier Signals'!O3</f>
        <v/>
      </c>
      <c r="M15" s="6">
        <f>IF($D15="Demand-led",$G15,"")</f>
        <v/>
      </c>
      <c r="N15" s="6">
        <f>IF($D15="Demand-led",$H15,"")</f>
        <v/>
      </c>
      <c r="O15" s="6">
        <f>IF($D15="Power-constrained",$G15,"")</f>
        <v/>
      </c>
      <c r="P15" s="6">
        <f>IF($D15="Power-constrained",$H15,"")</f>
        <v/>
      </c>
    </row>
    <row r="16">
      <c r="A16" s="23">
        <f>'Supplier Signals'!B4</f>
        <v/>
      </c>
      <c r="B16" s="24">
        <f>'Supplier Signals'!C4</f>
        <v/>
      </c>
      <c r="C16" s="24">
        <f>'Supplier Signals'!E4</f>
        <v/>
      </c>
      <c r="D16" s="24">
        <f>'Supplier Signals'!H4</f>
        <v/>
      </c>
      <c r="E16" s="24">
        <f>'Supplier Signals'!I4</f>
        <v/>
      </c>
      <c r="F16" s="49">
        <f>'Supplier Signals'!R4</f>
        <v/>
      </c>
      <c r="G16" s="49">
        <f>'Supplier Signals'!S4</f>
        <v/>
      </c>
      <c r="H16" s="49">
        <f>'Supplier Signals'!T4</f>
        <v/>
      </c>
      <c r="I16" s="49">
        <f>'Supplier Signals'!U4</f>
        <v/>
      </c>
      <c r="J16" s="50">
        <f>'Supplier Signals'!V4</f>
        <v/>
      </c>
      <c r="K16" s="51">
        <f>'Supplier Signals'!W4</f>
        <v/>
      </c>
      <c r="L16" s="24">
        <f>'Supplier Signals'!O4</f>
        <v/>
      </c>
      <c r="M16" s="6">
        <f>IF($D16="Demand-led",$G16,"")</f>
        <v/>
      </c>
      <c r="N16" s="6">
        <f>IF($D16="Demand-led",$H16,"")</f>
        <v/>
      </c>
      <c r="O16" s="6">
        <f>IF($D16="Power-constrained",$G16,"")</f>
        <v/>
      </c>
      <c r="P16" s="6">
        <f>IF($D16="Power-constrained",$H16,"")</f>
        <v/>
      </c>
    </row>
    <row r="17">
      <c r="A17" s="23">
        <f>'Supplier Signals'!B7</f>
        <v/>
      </c>
      <c r="B17" s="24">
        <f>'Supplier Signals'!C7</f>
        <v/>
      </c>
      <c r="C17" s="24">
        <f>'Supplier Signals'!E7</f>
        <v/>
      </c>
      <c r="D17" s="24">
        <f>'Supplier Signals'!H7</f>
        <v/>
      </c>
      <c r="E17" s="24">
        <f>'Supplier Signals'!I7</f>
        <v/>
      </c>
      <c r="F17" s="49">
        <f>'Supplier Signals'!R7</f>
        <v/>
      </c>
      <c r="G17" s="49">
        <f>'Supplier Signals'!S7</f>
        <v/>
      </c>
      <c r="H17" s="49">
        <f>'Supplier Signals'!T7</f>
        <v/>
      </c>
      <c r="I17" s="49">
        <f>'Supplier Signals'!U7</f>
        <v/>
      </c>
      <c r="J17" s="50">
        <f>'Supplier Signals'!V7</f>
        <v/>
      </c>
      <c r="K17" s="51">
        <f>'Supplier Signals'!W7</f>
        <v/>
      </c>
      <c r="L17" s="24">
        <f>'Supplier Signals'!O7</f>
        <v/>
      </c>
      <c r="M17" s="6">
        <f>IF($D17="Demand-led",$G17,"")</f>
        <v/>
      </c>
      <c r="N17" s="6">
        <f>IF($D17="Demand-led",$H17,"")</f>
        <v/>
      </c>
      <c r="O17" s="6">
        <f>IF($D17="Power-constrained",$G17,"")</f>
        <v/>
      </c>
      <c r="P17" s="6">
        <f>IF($D17="Power-constrained",$H17,"")</f>
        <v/>
      </c>
    </row>
    <row r="18">
      <c r="A18" s="23">
        <f>'Supplier Signals'!B10</f>
        <v/>
      </c>
      <c r="B18" s="24">
        <f>'Supplier Signals'!C10</f>
        <v/>
      </c>
      <c r="C18" s="24">
        <f>'Supplier Signals'!E10</f>
        <v/>
      </c>
      <c r="D18" s="24">
        <f>'Supplier Signals'!H10</f>
        <v/>
      </c>
      <c r="E18" s="24">
        <f>'Supplier Signals'!I10</f>
        <v/>
      </c>
      <c r="F18" s="49">
        <f>'Supplier Signals'!R10</f>
        <v/>
      </c>
      <c r="G18" s="49">
        <f>'Supplier Signals'!S10</f>
        <v/>
      </c>
      <c r="H18" s="49">
        <f>'Supplier Signals'!T10</f>
        <v/>
      </c>
      <c r="I18" s="49">
        <f>'Supplier Signals'!U10</f>
        <v/>
      </c>
      <c r="J18" s="50">
        <f>'Supplier Signals'!V10</f>
        <v/>
      </c>
      <c r="K18" s="51">
        <f>'Supplier Signals'!W10</f>
        <v/>
      </c>
      <c r="L18" s="24">
        <f>'Supplier Signals'!O10</f>
        <v/>
      </c>
      <c r="M18" s="6">
        <f>IF($D18="Demand-led",$G18,"")</f>
        <v/>
      </c>
      <c r="N18" s="6">
        <f>IF($D18="Demand-led",$H18,"")</f>
        <v/>
      </c>
      <c r="O18" s="6">
        <f>IF($D18="Power-constrained",$G18,"")</f>
        <v/>
      </c>
      <c r="P18" s="6">
        <f>IF($D18="Power-constrained",$H18,"")</f>
        <v/>
      </c>
    </row>
    <row r="19">
      <c r="A19" s="23">
        <f>'Supplier Signals'!B11</f>
        <v/>
      </c>
      <c r="B19" s="24">
        <f>'Supplier Signals'!C11</f>
        <v/>
      </c>
      <c r="C19" s="24">
        <f>'Supplier Signals'!E11</f>
        <v/>
      </c>
      <c r="D19" s="24">
        <f>'Supplier Signals'!H11</f>
        <v/>
      </c>
      <c r="E19" s="24">
        <f>'Supplier Signals'!I11</f>
        <v/>
      </c>
      <c r="F19" s="49">
        <f>'Supplier Signals'!R11</f>
        <v/>
      </c>
      <c r="G19" s="49">
        <f>'Supplier Signals'!S11</f>
        <v/>
      </c>
      <c r="H19" s="49">
        <f>'Supplier Signals'!T11</f>
        <v/>
      </c>
      <c r="I19" s="49">
        <f>'Supplier Signals'!U11</f>
        <v/>
      </c>
      <c r="J19" s="50">
        <f>'Supplier Signals'!V11</f>
        <v/>
      </c>
      <c r="K19" s="51">
        <f>'Supplier Signals'!W11</f>
        <v/>
      </c>
      <c r="L19" s="24">
        <f>'Supplier Signals'!O11</f>
        <v/>
      </c>
      <c r="M19" s="6">
        <f>IF($D19="Demand-led",$G19,"")</f>
        <v/>
      </c>
      <c r="N19" s="6">
        <f>IF($D19="Demand-led",$H19,"")</f>
        <v/>
      </c>
      <c r="O19" s="6">
        <f>IF($D19="Power-constrained",$G19,"")</f>
        <v/>
      </c>
      <c r="P19" s="6">
        <f>IF($D19="Power-constrained",$H19,"")</f>
        <v/>
      </c>
    </row>
    <row r="20">
      <c r="A20" s="23">
        <f>'Supplier Signals'!B13</f>
        <v/>
      </c>
      <c r="B20" s="24">
        <f>'Supplier Signals'!C13</f>
        <v/>
      </c>
      <c r="C20" s="24">
        <f>'Supplier Signals'!E13</f>
        <v/>
      </c>
      <c r="D20" s="24">
        <f>'Supplier Signals'!H13</f>
        <v/>
      </c>
      <c r="E20" s="24">
        <f>'Supplier Signals'!I13</f>
        <v/>
      </c>
      <c r="F20" s="49">
        <f>'Supplier Signals'!R13</f>
        <v/>
      </c>
      <c r="G20" s="49">
        <f>'Supplier Signals'!S13</f>
        <v/>
      </c>
      <c r="H20" s="49">
        <f>'Supplier Signals'!T13</f>
        <v/>
      </c>
      <c r="I20" s="49">
        <f>'Supplier Signals'!U13</f>
        <v/>
      </c>
      <c r="J20" s="50">
        <f>'Supplier Signals'!V13</f>
        <v/>
      </c>
      <c r="K20" s="51">
        <f>'Supplier Signals'!W13</f>
        <v/>
      </c>
      <c r="L20" s="24">
        <f>'Supplier Signals'!O13</f>
        <v/>
      </c>
      <c r="M20" s="6">
        <f>IF($D20="Demand-led",$G20,"")</f>
        <v/>
      </c>
      <c r="N20" s="6">
        <f>IF($D20="Demand-led",$H20,"")</f>
        <v/>
      </c>
      <c r="O20" s="6">
        <f>IF($D20="Power-constrained",$G20,"")</f>
        <v/>
      </c>
      <c r="P20" s="6">
        <f>IF($D20="Power-constrained",$H20,"")</f>
        <v/>
      </c>
    </row>
    <row r="21">
      <c r="A21" s="23">
        <f>'Supplier Signals'!B14</f>
        <v/>
      </c>
      <c r="B21" s="24">
        <f>'Supplier Signals'!C14</f>
        <v/>
      </c>
      <c r="C21" s="24">
        <f>'Supplier Signals'!E14</f>
        <v/>
      </c>
      <c r="D21" s="24">
        <f>'Supplier Signals'!H14</f>
        <v/>
      </c>
      <c r="E21" s="24">
        <f>'Supplier Signals'!I14</f>
        <v/>
      </c>
      <c r="F21" s="49">
        <f>'Supplier Signals'!R14</f>
        <v/>
      </c>
      <c r="G21" s="49">
        <f>'Supplier Signals'!S14</f>
        <v/>
      </c>
      <c r="H21" s="49">
        <f>'Supplier Signals'!T14</f>
        <v/>
      </c>
      <c r="I21" s="49">
        <f>'Supplier Signals'!U14</f>
        <v/>
      </c>
      <c r="J21" s="50">
        <f>'Supplier Signals'!V14</f>
        <v/>
      </c>
      <c r="K21" s="51">
        <f>'Supplier Signals'!W14</f>
        <v/>
      </c>
      <c r="L21" s="24">
        <f>'Supplier Signals'!O14</f>
        <v/>
      </c>
      <c r="M21" s="6">
        <f>IF($D21="Demand-led",$G21,"")</f>
        <v/>
      </c>
      <c r="N21" s="6">
        <f>IF($D21="Demand-led",$H21,"")</f>
        <v/>
      </c>
      <c r="O21" s="6">
        <f>IF($D21="Power-constrained",$G21,"")</f>
        <v/>
      </c>
      <c r="P21" s="6">
        <f>IF($D21="Power-constrained",$H21,"")</f>
        <v/>
      </c>
    </row>
    <row r="22">
      <c r="A22" s="23">
        <f>'Supplier Signals'!B15</f>
        <v/>
      </c>
      <c r="B22" s="24">
        <f>'Supplier Signals'!C15</f>
        <v/>
      </c>
      <c r="C22" s="24">
        <f>'Supplier Signals'!E15</f>
        <v/>
      </c>
      <c r="D22" s="24">
        <f>'Supplier Signals'!H15</f>
        <v/>
      </c>
      <c r="E22" s="24">
        <f>'Supplier Signals'!I15</f>
        <v/>
      </c>
      <c r="F22" s="49">
        <f>'Supplier Signals'!R15</f>
        <v/>
      </c>
      <c r="G22" s="49">
        <f>'Supplier Signals'!S15</f>
        <v/>
      </c>
      <c r="H22" s="49">
        <f>'Supplier Signals'!T15</f>
        <v/>
      </c>
      <c r="I22" s="49">
        <f>'Supplier Signals'!U15</f>
        <v/>
      </c>
      <c r="J22" s="50">
        <f>'Supplier Signals'!V15</f>
        <v/>
      </c>
      <c r="K22" s="51">
        <f>'Supplier Signals'!W15</f>
        <v/>
      </c>
      <c r="L22" s="24">
        <f>'Supplier Signals'!O15</f>
        <v/>
      </c>
      <c r="M22" s="6">
        <f>IF($D22="Demand-led",$G22,"")</f>
        <v/>
      </c>
      <c r="N22" s="6">
        <f>IF($D22="Demand-led",$H22,"")</f>
        <v/>
      </c>
      <c r="O22" s="6">
        <f>IF($D22="Power-constrained",$G22,"")</f>
        <v/>
      </c>
      <c r="P22" s="6">
        <f>IF($D22="Power-constrained",$H22,"")</f>
        <v/>
      </c>
    </row>
    <row r="23">
      <c r="A23" s="23">
        <f>'Supplier Signals'!B16</f>
        <v/>
      </c>
      <c r="B23" s="24">
        <f>'Supplier Signals'!C16</f>
        <v/>
      </c>
      <c r="C23" s="24">
        <f>'Supplier Signals'!E16</f>
        <v/>
      </c>
      <c r="D23" s="24">
        <f>'Supplier Signals'!H16</f>
        <v/>
      </c>
      <c r="E23" s="24">
        <f>'Supplier Signals'!I16</f>
        <v/>
      </c>
      <c r="F23" s="49">
        <f>'Supplier Signals'!R16</f>
        <v/>
      </c>
      <c r="G23" s="49">
        <f>'Supplier Signals'!S16</f>
        <v/>
      </c>
      <c r="H23" s="49">
        <f>'Supplier Signals'!T16</f>
        <v/>
      </c>
      <c r="I23" s="49">
        <f>'Supplier Signals'!U16</f>
        <v/>
      </c>
      <c r="J23" s="50">
        <f>'Supplier Signals'!V16</f>
        <v/>
      </c>
      <c r="K23" s="51">
        <f>'Supplier Signals'!W16</f>
        <v/>
      </c>
      <c r="L23" s="24">
        <f>'Supplier Signals'!O16</f>
        <v/>
      </c>
      <c r="M23" s="6">
        <f>IF($D23="Demand-led",$G23,"")</f>
        <v/>
      </c>
      <c r="N23" s="6">
        <f>IF($D23="Demand-led",$H23,"")</f>
        <v/>
      </c>
      <c r="O23" s="6">
        <f>IF($D23="Power-constrained",$G23,"")</f>
        <v/>
      </c>
      <c r="P23" s="6">
        <f>IF($D23="Power-constrained",$H23,"")</f>
        <v/>
      </c>
    </row>
    <row r="24">
      <c r="A24" s="23">
        <f>'Supplier Signals'!B17</f>
        <v/>
      </c>
      <c r="B24" s="24">
        <f>'Supplier Signals'!C17</f>
        <v/>
      </c>
      <c r="C24" s="24">
        <f>'Supplier Signals'!E17</f>
        <v/>
      </c>
      <c r="D24" s="24">
        <f>'Supplier Signals'!H17</f>
        <v/>
      </c>
      <c r="E24" s="24">
        <f>'Supplier Signals'!I17</f>
        <v/>
      </c>
      <c r="F24" s="49">
        <f>'Supplier Signals'!R17</f>
        <v/>
      </c>
      <c r="G24" s="49">
        <f>'Supplier Signals'!S17</f>
        <v/>
      </c>
      <c r="H24" s="49">
        <f>'Supplier Signals'!T17</f>
        <v/>
      </c>
      <c r="I24" s="49">
        <f>'Supplier Signals'!U17</f>
        <v/>
      </c>
      <c r="J24" s="50">
        <f>'Supplier Signals'!V17</f>
        <v/>
      </c>
      <c r="K24" s="51">
        <f>'Supplier Signals'!W17</f>
        <v/>
      </c>
      <c r="L24" s="24">
        <f>'Supplier Signals'!O17</f>
        <v/>
      </c>
      <c r="M24" s="6">
        <f>IF($D24="Demand-led",$G24,"")</f>
        <v/>
      </c>
      <c r="N24" s="6">
        <f>IF($D24="Demand-led",$H24,"")</f>
        <v/>
      </c>
      <c r="O24" s="6">
        <f>IF($D24="Power-constrained",$G24,"")</f>
        <v/>
      </c>
      <c r="P24" s="6">
        <f>IF($D24="Power-constrained",$H24,"")</f>
        <v/>
      </c>
    </row>
    <row r="25">
      <c r="A25" s="23">
        <f>'Supplier Signals'!B18</f>
        <v/>
      </c>
      <c r="B25" s="24">
        <f>'Supplier Signals'!C18</f>
        <v/>
      </c>
      <c r="C25" s="24">
        <f>'Supplier Signals'!E18</f>
        <v/>
      </c>
      <c r="D25" s="24">
        <f>'Supplier Signals'!H18</f>
        <v/>
      </c>
      <c r="E25" s="24">
        <f>'Supplier Signals'!I18</f>
        <v/>
      </c>
      <c r="F25" s="49">
        <f>'Supplier Signals'!R18</f>
        <v/>
      </c>
      <c r="G25" s="49">
        <f>'Supplier Signals'!S18</f>
        <v/>
      </c>
      <c r="H25" s="49">
        <f>'Supplier Signals'!T18</f>
        <v/>
      </c>
      <c r="I25" s="49">
        <f>'Supplier Signals'!U18</f>
        <v/>
      </c>
      <c r="J25" s="50">
        <f>'Supplier Signals'!V18</f>
        <v/>
      </c>
      <c r="K25" s="51">
        <f>'Supplier Signals'!W18</f>
        <v/>
      </c>
      <c r="L25" s="24">
        <f>'Supplier Signals'!O18</f>
        <v/>
      </c>
      <c r="M25" s="6">
        <f>IF($D25="Demand-led",$G25,"")</f>
        <v/>
      </c>
      <c r="N25" s="6">
        <f>IF($D25="Demand-led",$H25,"")</f>
        <v/>
      </c>
      <c r="O25" s="6">
        <f>IF($D25="Power-constrained",$G25,"")</f>
        <v/>
      </c>
      <c r="P25" s="6">
        <f>IF($D25="Power-constrained",$H25,"")</f>
        <v/>
      </c>
    </row>
    <row r="26">
      <c r="A26" s="23">
        <f>'Supplier Signals'!B19</f>
        <v/>
      </c>
      <c r="B26" s="24">
        <f>'Supplier Signals'!C19</f>
        <v/>
      </c>
      <c r="C26" s="24">
        <f>'Supplier Signals'!E19</f>
        <v/>
      </c>
      <c r="D26" s="24">
        <f>'Supplier Signals'!H19</f>
        <v/>
      </c>
      <c r="E26" s="24">
        <f>'Supplier Signals'!I19</f>
        <v/>
      </c>
      <c r="F26" s="49">
        <f>'Supplier Signals'!R19</f>
        <v/>
      </c>
      <c r="G26" s="49">
        <f>'Supplier Signals'!S19</f>
        <v/>
      </c>
      <c r="H26" s="49">
        <f>'Supplier Signals'!T19</f>
        <v/>
      </c>
      <c r="I26" s="49">
        <f>'Supplier Signals'!U19</f>
        <v/>
      </c>
      <c r="J26" s="50">
        <f>'Supplier Signals'!V19</f>
        <v/>
      </c>
      <c r="K26" s="51">
        <f>'Supplier Signals'!W19</f>
        <v/>
      </c>
      <c r="L26" s="24">
        <f>'Supplier Signals'!O19</f>
        <v/>
      </c>
      <c r="M26" s="6">
        <f>IF($D26="Demand-led",$G26,"")</f>
        <v/>
      </c>
      <c r="N26" s="6">
        <f>IF($D26="Demand-led",$H26,"")</f>
        <v/>
      </c>
      <c r="O26" s="6">
        <f>IF($D26="Power-constrained",$G26,"")</f>
        <v/>
      </c>
      <c r="P26" s="6">
        <f>IF($D26="Power-constrained",$H26,"")</f>
        <v/>
      </c>
    </row>
    <row r="27">
      <c r="A27" s="23">
        <f>'Supplier Signals'!B20</f>
        <v/>
      </c>
      <c r="B27" s="24">
        <f>'Supplier Signals'!C20</f>
        <v/>
      </c>
      <c r="C27" s="24">
        <f>'Supplier Signals'!E20</f>
        <v/>
      </c>
      <c r="D27" s="24">
        <f>'Supplier Signals'!H20</f>
        <v/>
      </c>
      <c r="E27" s="24">
        <f>'Supplier Signals'!I20</f>
        <v/>
      </c>
      <c r="F27" s="49">
        <f>'Supplier Signals'!R20</f>
        <v/>
      </c>
      <c r="G27" s="49">
        <f>'Supplier Signals'!S20</f>
        <v/>
      </c>
      <c r="H27" s="49">
        <f>'Supplier Signals'!T20</f>
        <v/>
      </c>
      <c r="I27" s="49">
        <f>'Supplier Signals'!U20</f>
        <v/>
      </c>
      <c r="J27" s="50">
        <f>'Supplier Signals'!V20</f>
        <v/>
      </c>
      <c r="K27" s="51">
        <f>'Supplier Signals'!W20</f>
        <v/>
      </c>
      <c r="L27" s="24">
        <f>'Supplier Signals'!O20</f>
        <v/>
      </c>
      <c r="M27" s="6">
        <f>IF($D27="Demand-led",$G27,"")</f>
        <v/>
      </c>
      <c r="N27" s="6">
        <f>IF($D27="Demand-led",$H27,"")</f>
        <v/>
      </c>
      <c r="O27" s="6">
        <f>IF($D27="Power-constrained",$G27,"")</f>
        <v/>
      </c>
      <c r="P27" s="6">
        <f>IF($D27="Power-constrained",$H27,"")</f>
        <v/>
      </c>
    </row>
  </sheetData>
  <mergeCells count="4">
    <mergeCell ref="A4:H4"/>
    <mergeCell ref="A2:H2"/>
    <mergeCell ref="A12:L12"/>
    <mergeCell ref="A1:H1"/>
  </mergeCells>
  <conditionalFormatting sqref="F14:I27">
    <cfRule type="colorScale" priority="1">
      <colorScale>
        <cfvo type="num" val="-0.2"/>
        <cfvo type="num" val="0"/>
        <cfvo type="num" val="0.6"/>
        <color rgb="00F8696B"/>
        <color rgb="00FFEB84"/>
        <color rgb="0063BE7B"/>
      </colorScale>
    </cfRule>
  </conditionalFormatting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55" customWidth="1" min="4" max="4"/>
    <col width="55" customWidth="1" min="5" max="5"/>
    <col width="62" customWidth="1" min="6" max="6"/>
  </cols>
  <sheetData>
    <row r="1">
      <c r="A1" s="47" t="inlineStr">
        <is>
          <t>Case Studies: What the Sequence Looked Like</t>
        </is>
      </c>
    </row>
    <row r="2"/>
    <row r="3">
      <c r="A3" s="4" t="inlineStr">
        <is>
          <t>Cycle / Test</t>
        </is>
      </c>
      <c r="B3" s="4" t="inlineStr">
        <is>
          <t>Date</t>
        </is>
      </c>
      <c r="C3" s="4" t="inlineStr">
        <is>
          <t>Layer</t>
        </is>
      </c>
      <c r="D3" s="4" t="inlineStr">
        <is>
          <t>Observed Signal</t>
        </is>
      </c>
      <c r="E3" s="4" t="inlineStr">
        <is>
          <t>What Followed</t>
        </is>
      </c>
      <c r="F3" s="4" t="inlineStr">
        <is>
          <t>Read</t>
        </is>
      </c>
    </row>
    <row r="4">
      <c r="A4" s="52" t="inlineStr">
        <is>
          <t>2023–24 demand-led</t>
        </is>
      </c>
      <c r="B4" s="15" t="inlineStr">
        <is>
          <t>10/25/2023</t>
        </is>
      </c>
      <c r="C4" s="15" t="inlineStr">
        <is>
          <t>Cooling / power</t>
        </is>
      </c>
      <c r="D4" s="15" t="inlineStr">
        <is>
          <t>Vertiv orders +11%; backlog $5.0B</t>
        </is>
      </c>
      <c r="E4" s="15" t="inlineStr">
        <is>
          <t>SOXX +16.1% in Nov; +32.7% over next 3 months</t>
        </is>
      </c>
      <c r="F4" s="15" t="inlineStr">
        <is>
          <t>Useful, but AI-chip demand itself was already driving the build. Physical signals were often concurrent with semis.</t>
        </is>
      </c>
    </row>
    <row r="5">
      <c r="A5" s="52" t="inlineStr">
        <is>
          <t>2023–24 demand-led</t>
        </is>
      </c>
      <c r="B5" s="15" t="inlineStr">
        <is>
          <t>2/21/2024</t>
        </is>
      </c>
      <c r="C5" s="15" t="inlineStr">
        <is>
          <t>Cooling / power</t>
        </is>
      </c>
      <c r="D5" s="15" t="inlineStr">
        <is>
          <t>Vertiv orders +23%; backlog $5.5B</t>
        </is>
      </c>
      <c r="E5" s="15" t="inlineStr">
        <is>
          <t>Dell AI backlog $2.9B on 2/29; SK hynix current-year HBM sold out</t>
        </is>
      </c>
      <c r="F5" s="15" t="inlineStr">
        <is>
          <t>Bridge from facility orders into systems/memory was visible, but semis were already in an upcycle.</t>
        </is>
      </c>
    </row>
    <row r="6">
      <c r="A6" s="52" t="inlineStr">
        <is>
          <t>2023–24 demand-led</t>
        </is>
      </c>
      <c r="B6" s="15" t="inlineStr">
        <is>
          <t>4/24/2024</t>
        </is>
      </c>
      <c r="C6" s="15" t="inlineStr">
        <is>
          <t>Cooling / power</t>
        </is>
      </c>
      <c r="D6" s="15" t="inlineStr">
        <is>
          <t>Vertiv orders +60%; B2B 1.5x</t>
        </is>
      </c>
      <c r="E6" s="15" t="inlineStr">
        <is>
          <t>Dell orders $2.6B / shipments $1.7B on 5/30; TSMC CoWoS expansion on 7/18</t>
        </is>
      </c>
      <c r="F6" s="15" t="inlineStr">
        <is>
          <t>Strong confirmation, not a clean early entry signal.</t>
        </is>
      </c>
    </row>
    <row r="7">
      <c r="A7" s="53" t="inlineStr">
        <is>
          <t>2025–26 power-constrained</t>
        </is>
      </c>
      <c r="B7" s="15" t="inlineStr">
        <is>
          <t>7/30/2025</t>
        </is>
      </c>
      <c r="C7" s="15" t="inlineStr">
        <is>
          <t>Cooling / power</t>
        </is>
      </c>
      <c r="D7" s="15" t="inlineStr">
        <is>
          <t>Vertiv orders +15% YoY / +11% sequential</t>
        </is>
      </c>
      <c r="E7" s="15" t="inlineStr">
        <is>
          <t>SOXX +28.0% over next 3 months</t>
        </is>
      </c>
      <c r="F7" s="15" t="inlineStr">
        <is>
          <t>Physical infrastructure reacceleration became visible before the next semiconductor acceleration.</t>
        </is>
      </c>
    </row>
    <row r="8">
      <c r="A8" s="53" t="inlineStr">
        <is>
          <t>2025–26 power-constrained</t>
        </is>
      </c>
      <c r="B8" s="15" t="inlineStr">
        <is>
          <t>8/7–8/21/2025</t>
        </is>
      </c>
      <c r="C8" s="15" t="inlineStr">
        <is>
          <t>Generation</t>
        </is>
      </c>
      <c r="D8" s="15" t="inlineStr">
        <is>
          <t>Caterpillar signs 4 GW Joule agreement and up-to-1 GW Hunt alliance</t>
        </is>
      </c>
      <c r="E8" s="15" t="inlineStr">
        <is>
          <t>Vertiv orders +60% in Oct; Eaton electrical orders data-center-driven in Nov</t>
        </is>
      </c>
      <c r="F8" s="15" t="inlineStr">
        <is>
          <t>Power de-risking visibly preceded the later electrical/cooling order explosion.</t>
        </is>
      </c>
    </row>
    <row r="9">
      <c r="A9" s="53" t="inlineStr">
        <is>
          <t>2025–26 power-constrained</t>
        </is>
      </c>
      <c r="B9" s="15" t="inlineStr">
        <is>
          <t>10/22/2025</t>
        </is>
      </c>
      <c r="C9" s="15" t="inlineStr">
        <is>
          <t>Cooling / power</t>
        </is>
      </c>
      <c r="D9" s="15" t="inlineStr">
        <is>
          <t>Vertiv orders +60%; B2B 1.4x; backlog $9.5B</t>
        </is>
      </c>
      <c r="E9" s="15" t="inlineStr">
        <is>
          <t>SOXX +13.1% over 3 months; +50.8% over 6 months</t>
        </is>
      </c>
      <c r="F9" s="15" t="inlineStr">
        <is>
          <t>This is close to the signal we want: physical orders accelerate while the next semi leg is not yet fully priced.</t>
        </is>
      </c>
    </row>
    <row r="10">
      <c r="A10" s="53" t="inlineStr">
        <is>
          <t>2025–26 power-constrained</t>
        </is>
      </c>
      <c r="B10" s="15" t="inlineStr">
        <is>
          <t>1/28–2/11/2026</t>
        </is>
      </c>
      <c r="C10" s="15" t="inlineStr">
        <is>
          <t>Generation + electrical + cooling</t>
        </is>
      </c>
      <c r="D10" s="15" t="inlineStr">
        <is>
          <t>CAT 2 GW firm order; Eaton DC orders +~200%; Vertiv orders +252%</t>
        </is>
      </c>
      <c r="E10" s="15" t="inlineStr">
        <is>
          <t>SOXX Feb close $351.91 → Jun $640.76 (~+82%); Dell AI revenue/order surge followed</t>
        </is>
      </c>
      <c r="F10" s="15" t="inlineStr">
        <is>
          <t>Strongest preliminary evidence that physical-order confirmation can front-run a semi re-rating in a power-gated regime.</t>
        </is>
      </c>
    </row>
    <row r="11">
      <c r="A11" s="52" t="inlineStr">
        <is>
          <t>Forward live test</t>
        </is>
      </c>
      <c r="B11" s="15" t="inlineStr">
        <is>
          <t>1/28/2026 onward</t>
        </is>
      </c>
      <c r="C11" s="15" t="inlineStr">
        <is>
          <t>Generation</t>
        </is>
      </c>
      <c r="D11" s="15" t="inlineStr">
        <is>
          <t>Monarch 2 GW gensets deliver Sep-26 through Aug-27; commissioning within months</t>
        </is>
      </c>
      <c r="E11" s="15" t="inlineStr">
        <is>
          <t>Future chip/server procurement should be visible before power-on if the model is right</t>
        </is>
      </c>
      <c r="F11" s="15" t="inlineStr">
        <is>
          <t>Track HBM/CoWoS/GPU/server commitments against this explicit delivery clock. This is a true forward test, not a backtest.</t>
        </is>
      </c>
    </row>
    <row r="12">
      <c r="A12" s="52" t="inlineStr">
        <is>
          <t>Current late-stage</t>
        </is>
      </c>
      <c r="B12" s="15" t="inlineStr">
        <is>
          <t>9/1/2026</t>
        </is>
      </c>
      <c r="C12" s="15" t="inlineStr">
        <is>
          <t>Servers / racks</t>
        </is>
      </c>
      <c r="D12" s="15" t="inlineStr">
        <is>
          <t>Dell: $60.9B AI orders, $16.4B revenue, $95B backlog</t>
        </is>
      </c>
      <c r="E12" s="15" t="inlineStr">
        <is>
          <t>Hardware monetization is already obvious</t>
        </is>
      </c>
      <c r="F12" s="15" t="inlineStr">
        <is>
          <t>Too late to be the early signal. We want the upstream VRT/ETN/CAT/MEP inflection before this stage.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5" customWidth="1" min="2" max="2"/>
    <col width="55" customWidth="1" min="3" max="3"/>
    <col width="30" customWidth="1" min="4" max="4"/>
  </cols>
  <sheetData>
    <row r="1">
      <c r="A1" s="47" t="inlineStr">
        <is>
          <t>Sources, Definitions &amp; Methodology</t>
        </is>
      </c>
    </row>
    <row r="2"/>
    <row r="3" ht="20" customHeight="1">
      <c r="A3" s="3" t="inlineStr">
        <is>
          <t>Method</t>
        </is>
      </c>
    </row>
    <row r="4">
      <c r="A4" s="54" t="inlineStr">
        <is>
          <t>Question</t>
        </is>
      </c>
      <c r="B4" s="15" t="inlineStr">
        <is>
          <t>Can public physical-infrastructure orders provide a timing signal before semiconductor equity/revenue cycles?</t>
        </is>
      </c>
    </row>
    <row r="5">
      <c r="A5" s="54" t="inlineStr">
        <is>
          <t>Primary unit of observation</t>
        </is>
      </c>
      <c r="B5" s="15" t="inlineStr">
        <is>
          <t>A dated public disclosure: generation contract, electrical/cooling order acceleration, construction backlog, HBM/packaging allocation, or AI server order/revenue disclosure.</t>
        </is>
      </c>
    </row>
    <row r="6">
      <c r="A6" s="54" t="inlineStr">
        <is>
          <t>Backtest set</t>
        </is>
      </c>
      <c r="B6" s="15" t="inlineStr">
        <is>
          <t>Only rows marked Backtest? = 1. Bridge/confirmation rows are kept for chronology but excluded from upstream-return averages.</t>
        </is>
      </c>
    </row>
    <row r="7">
      <c r="A7" s="54" t="inlineStr">
        <is>
          <t>Market proxy</t>
        </is>
      </c>
      <c r="B7" s="15" t="inlineStr">
        <is>
          <t>SOXX month-end close. Forward returns are measured from the event month-end, so timing is intentionally coarse.</t>
        </is>
      </c>
    </row>
    <row r="8">
      <c r="A8" s="54" t="inlineStr">
        <is>
          <t>Strong month definition</t>
        </is>
      </c>
      <c r="B8" s="15" t="inlineStr">
        <is>
          <t>SOXX calendar-month return &gt;= 10%. Used only as a simple clock marker, not as a statistical threshold.</t>
        </is>
      </c>
    </row>
    <row r="9">
      <c r="A9" s="54" t="inlineStr">
        <is>
          <t>Regime split</t>
        </is>
      </c>
      <c r="B9" s="15" t="inlineStr">
        <is>
          <t>Demand-led = 2023–24; Transition = early 2025; Power-constrained = Jul-2025 onward. This split is thesis-driven and ex post, so it can overstate apparent differences.</t>
        </is>
      </c>
    </row>
    <row r="10">
      <c r="A10" s="54" t="inlineStr">
        <is>
          <t>Critical limitation</t>
        </is>
      </c>
      <c r="B10" s="15" t="inlineStr">
        <is>
          <t>Events are clustered around the same industry cycle and are not independent. This workbook does not prove causality. It is designed to identify a repeatable sequence for forward monitoring.</t>
        </is>
      </c>
    </row>
    <row r="11">
      <c r="A11" s="54" t="inlineStr">
        <is>
          <t>What would validate the thesis forward</t>
        </is>
      </c>
      <c r="B11" s="15" t="inlineStr">
        <is>
          <t>A new generation/electrical/cooling order inflection occurs while SOXX/semis are still weak; HBM/CoWoS/server orders then rise within the predicted window; chip revenue follows before compute commissioning.</t>
        </is>
      </c>
    </row>
    <row r="12"/>
    <row r="13"/>
    <row r="14" ht="20" customHeight="1">
      <c r="A14" s="3" t="inlineStr">
        <is>
          <t>Clock anchors</t>
        </is>
      </c>
    </row>
    <row r="15">
      <c r="A15" s="52" t="inlineStr">
        <is>
          <t>Power / generation</t>
        </is>
      </c>
      <c r="B15" s="15" t="inlineStr">
        <is>
          <t>CAT Monarch 2 GW purchase agreement; equipment deliveries Sep-2026 to Aug-2027, then commissioning within months.</t>
        </is>
      </c>
      <c r="C15" s="28" t="inlineStr">
        <is>
          <t>https://investors.caterpillar.com/news/news-details/2026/American-Intelligence--Power-Forms-Strategic-Alliance-with-Caterpillar-and-Boyd-CAT-to-Deploy-2-Gigawatts-of-Dedicated-Power-for-Hyperscale-AI-Infrastructure/default.aspx</t>
        </is>
      </c>
      <c r="D15" s="55" t="n"/>
    </row>
    <row r="16">
      <c r="A16" s="52" t="inlineStr">
        <is>
          <t>Cooling / electrical</t>
        </is>
      </c>
      <c r="B16" s="15" t="inlineStr">
        <is>
          <t>Vertiv 2025 10-K: majority of $15B backlog considered firm and expected to ship within 12–18 months.</t>
        </is>
      </c>
      <c r="C16" s="28" t="inlineStr">
        <is>
          <t>https://www.sec.gov/Archives/edgar/data/1674101/000167410126000008/vrt-20251231.htm</t>
        </is>
      </c>
      <c r="D16" s="55" t="n"/>
    </row>
    <row r="17">
      <c r="A17" s="52" t="inlineStr">
        <is>
          <t>HBM</t>
        </is>
      </c>
      <c r="B17" s="15" t="inlineStr">
        <is>
          <t>SK hynix Feb-2024: planned current-year HBM sold out; already preparing for following year.</t>
        </is>
      </c>
      <c r="C17" s="28" t="inlineStr">
        <is>
          <t>https://news.skhynix.com/en/new-leadership-spotlight-vice-president-kitae-kim-head-of-hbm-sales-marketing/</t>
        </is>
      </c>
      <c r="D17" s="55" t="n"/>
    </row>
    <row r="18">
      <c r="A18" s="52" t="inlineStr">
        <is>
          <t>HBM</t>
        </is>
      </c>
      <c r="B18" s="15" t="inlineStr">
        <is>
          <t>Micron Mar-2025: 2025 HBM sold out; negotiating customer agreements for 2026 demand.</t>
        </is>
      </c>
      <c r="C18" s="28" t="inlineStr">
        <is>
          <t>https://investors.micron.com/static-files/52ce0c07-49dc-4eab-b1d2-a67bde373bca</t>
        </is>
      </c>
      <c r="D18" s="55" t="n"/>
    </row>
    <row r="19">
      <c r="A19" s="52" t="inlineStr">
        <is>
          <t>Advanced packaging</t>
        </is>
      </c>
      <c r="B19" s="15" t="inlineStr">
        <is>
          <t>TSMC Jul-2024: CoWoS more than doubled in 2024; planned to double or more again in 2025.</t>
        </is>
      </c>
      <c r="C19" s="28" t="inlineStr">
        <is>
          <t>https://investor.tsmc.com/english/encrypt/files/encrypt_file/reports/2024-08/5122725a56670882d777a8e8bfe0ed247cc55330/TSMC%202Q24%20Transcript.pdf</t>
        </is>
      </c>
      <c r="D19" s="55" t="n"/>
    </row>
    <row r="20">
      <c r="A20" s="52" t="inlineStr">
        <is>
          <t>Construction</t>
        </is>
      </c>
      <c r="B20" s="15" t="inlineStr">
        <is>
          <t>EMCOR: large projects can span multiple years; 2025 data-center construction drove network/communications growth.</t>
        </is>
      </c>
      <c r="C20" s="28" t="inlineStr">
        <is>
          <t>https://www.sec.gov/Archives/edgar/data/105634/000010563426000025/eme-20251231.htm</t>
        </is>
      </c>
      <c r="D20" s="55" t="n"/>
    </row>
    <row r="21">
      <c r="A21" s="52" t="inlineStr">
        <is>
          <t>Server systems</t>
        </is>
      </c>
      <c r="B21" s="15" t="inlineStr">
        <is>
          <t>Dell May-2024: AI orders $2.6B, shipments $1.7B, backlog $3.8B.</t>
        </is>
      </c>
      <c r="C21" s="28" t="inlineStr">
        <is>
          <t>https://investors.delltechnologies.com/news-releases/news-release-details/dell-technologies-delivers-first-quarter-fiscal-2025-financial</t>
        </is>
      </c>
      <c r="D21" s="55" t="n"/>
    </row>
  </sheetData>
  <mergeCells count="18">
    <mergeCell ref="B10:D10"/>
    <mergeCell ref="A1:D1"/>
    <mergeCell ref="B11:D11"/>
    <mergeCell ref="C20:D20"/>
    <mergeCell ref="B5:D5"/>
    <mergeCell ref="C21:D21"/>
    <mergeCell ref="C16:D16"/>
    <mergeCell ref="C15:D15"/>
    <mergeCell ref="B8:D8"/>
    <mergeCell ref="A3:D3"/>
    <mergeCell ref="B4:D4"/>
    <mergeCell ref="C19:D19"/>
    <mergeCell ref="B9:D9"/>
    <mergeCell ref="C18:D18"/>
    <mergeCell ref="B7:D7"/>
    <mergeCell ref="C17:D17"/>
    <mergeCell ref="B6:D6"/>
    <mergeCell ref="A14:D14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2026-09-05T04:34:22Z</dcterms:created>
  <dcterms:modified xmlns:dcterms="http://purl.org/dc/terms/" xmlns:xsi="http://www.w3.org/2001/XMLSchema-instance" xsi:type="dcterms:W3CDTF">2026-09-05T04:34:22Z</dcterms:modified>
</cp:coreProperties>
</file>