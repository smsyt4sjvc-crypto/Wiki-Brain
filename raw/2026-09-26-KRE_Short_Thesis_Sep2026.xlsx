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sis Overview" sheetId="1" state="visible" r:id="rId3"/>
    <sheet name="Sep 2026 Scorecard" sheetId="2" state="visible" r:id="rId4"/>
    <sheet name="CMBS Delinquency Data" sheetId="3" state="visible" r:id="rId5"/>
    <sheet name="Multifamily Crisis" sheetId="4" state="visible" r:id="rId6"/>
    <sheet name="Extend &amp; Pretend Failure" sheetId="5" state="visible" r:id="rId7"/>
    <sheet name="National Debt Risk" sheetId="6" state="visible" r:id="rId8"/>
    <sheet name="Catalyst Timeline" sheetId="7" state="visible" r:id="rId9"/>
    <sheet name="Monitoring Dashboard" sheetId="8" state="visible" r:id="rId10"/>
    <sheet name="Options Chain 2-15-26" sheetId="9" state="visible" r:id="rId11"/>
    <sheet name="Options Chain 9-25-26" sheetId="10" state="visible" r:id="rId12"/>
    <sheet name="Risk Factor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1" authorId="0">
      <text>
        <r>
          <rPr>
            <sz val="10"/>
            <rFont val="Arial"/>
            <family val="2"/>
          </rPr>
          <t xml:space="preserve">Feb–Aug 2026 rows: Trepp CMBS delinquency data via Commercial Property Executive / Connect CRE / Multifamily Dive (Trepp site not reachable directly). Feb office 11.20% sits below the Jan 12.34% record in the original sheet — secondary series, treat as approximate.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KRE close 9/25/2026, Nasdaq. Change this to re-price the moneyness and scenario columns.</t>
        </r>
      </text>
    </comment>
  </commentList>
</comments>
</file>

<file path=xl/sharedStrings.xml><?xml version="1.0" encoding="utf-8"?>
<sst xmlns="http://schemas.openxmlformats.org/spreadsheetml/2006/main" count="582" uniqueCount="499">
  <si>
    <t xml:space="preserve">KRE SHORT THESIS — REGIONAL BANK CRE EXPOSURE</t>
  </si>
  <si>
    <t xml:space="preserve">UPDATED: September 26, 2026 (from Feb 15) | KRE: $71.55 (9/25 close; $71.28 on 2/13) | Dec 31, 2026 puts: 96 days left | STATUS: thesis NOT paying — see "Sep 2026 Scorecard" | green cells = updated 9/26</t>
  </si>
  <si>
    <t xml:space="preserve">FIELD</t>
  </si>
  <si>
    <t xml:space="preserve">DETAIL</t>
  </si>
  <si>
    <t xml:space="preserve">SOURCE / NOTES</t>
  </si>
  <si>
    <t xml:space="preserve">TRADE SUMMARY</t>
  </si>
  <si>
    <t xml:space="preserve">Instrument</t>
  </si>
  <si>
    <t xml:space="preserve">KRE — SPDR S&amp;P Regional Banking ETF</t>
  </si>
  <si>
    <t xml:space="preserve">State Street</t>
  </si>
  <si>
    <t xml:space="preserve">Current Price</t>
  </si>
  <si>
    <t xml:space="preserve">$71.55 (9/25/2026 close) — Feb 13: $71.28 (flat). 2026 closing range: $62.62 (3/18) – $77.93 (8/14)</t>
  </si>
  <si>
    <t xml:space="preserve">Nasdaq historical data (daily closes, pulled 9/26/2026)</t>
  </si>
  <si>
    <t xml:space="preserve">Vehicle</t>
  </si>
  <si>
    <t xml:space="preserve">Long Put Options — Dec 31, 2026 expiration (96 days left as of 9/26; was 319 days on 2/15)</t>
  </si>
  <si>
    <t xml:space="preserve">Buy to open only (no spreads)</t>
  </si>
  <si>
    <t xml:space="preserve">Primary Strike</t>
  </si>
  <si>
    <t xml:space="preserve">$60 — ~16% below current price ($71.55)</t>
  </si>
  <si>
    <t xml:space="preserve">9/25: Bid $0.04 / Ask $0.70 / Last $0.48 — Feb: Bid $1.70 / Ask $4.00 / Last $2.86 ⇒ last ~−83% vs Feb</t>
  </si>
  <si>
    <t xml:space="preserve">Alternative Strike</t>
  </si>
  <si>
    <t xml:space="preserve">$65 — ~9% below current price ($71.55)</t>
  </si>
  <si>
    <t xml:space="preserve">9/25: Bid $0.25 / Ask $2.06 / Last $1.63 — Feb last $5.72 ⇒ ~−72% vs Feb</t>
  </si>
  <si>
    <t xml:space="preserve">Max Risk</t>
  </si>
  <si>
    <t xml:space="preserve">Premium paid per contract ($250-$300 at $60 strike at Feb entry) — Sep mark ≈ $48/contract (last $0.48)</t>
  </si>
  <si>
    <t xml:space="preserve">Defined risk, asymmetric payoff</t>
  </si>
  <si>
    <t xml:space="preserve">Profit at KRE $50</t>
  </si>
  <si>
    <t xml:space="preserve">~$700/contract (put worth $10 intrinsic)</t>
  </si>
  <si>
    <t xml:space="preserve">233% on $3.00 Feb premium — now needs KRE −30% ($71.55→$50) in 96 days</t>
  </si>
  <si>
    <t xml:space="preserve">Profit at KRE $40</t>
  </si>
  <si>
    <t xml:space="preserve">~$1,700/contract (put worth $20 intrinsic)</t>
  </si>
  <si>
    <t xml:space="preserve">567% on $3.00 Feb premium — now needs KRE −44% in 96 days</t>
  </si>
  <si>
    <t xml:space="preserve">Profit at SVB Crisis Level ($33)</t>
  </si>
  <si>
    <t xml:space="preserve">~$2,400/contract (put worth $27 intrinsic)</t>
  </si>
  <si>
    <t xml:space="preserve">800% on $3.00 Feb premium — now needs KRE −54% in 96 days</t>
  </si>
  <si>
    <t xml:space="preserve">Precedent</t>
  </si>
  <si>
    <t xml:space="preserve">KRE dropped 26% in a prior scare; dropped from ~$60 to ~$33 during SVB (March 2023)</t>
  </si>
  <si>
    <t xml:space="preserve">Kobeissi Letter · 2026: KRE fell −12% (71.28 → 62.62) into 3/18, then recovered to $77.93 by 8/14</t>
  </si>
  <si>
    <t xml:space="preserve">Exit Strategy</t>
  </si>
  <si>
    <t xml:space="preserve">Sell to close puts anytime — no need to exercise or hold to expiration</t>
  </si>
  <si>
    <t xml:space="preserve">Best exit: sharp selloff + vol spike with time remaining</t>
  </si>
  <si>
    <t xml:space="preserve">Entry Strategy</t>
  </si>
  <si>
    <t xml:space="preserve">Buy on green KRE days when puts are cheapest; scale in if KRE rallies to $72-75</t>
  </si>
  <si>
    <t xml:space="preserve">GTC limit orders; avoid paying the ask · 2026: KRE traded $72-78 Jun–Sep (the scale-in zone)</t>
  </si>
  <si>
    <t xml:space="preserve">Broker</t>
  </si>
  <si>
    <t xml:space="preserve">Fidelity (superior options liquidity vs Schwab)</t>
  </si>
  <si>
    <t xml:space="preserve">CORE THESIS</t>
  </si>
  <si>
    <t xml:space="preserve">Primary Catalyst</t>
  </si>
  <si>
    <t xml:space="preserve">CRE maturity wall forces recognition of losses that banks have been hiding via extend-and-pretend and HTM accounting</t>
  </si>
  <si>
    <t xml:space="preserve">CRE Loans Maturing 2026</t>
  </si>
  <si>
    <t xml:space="preserve">$875B (17% of $5.0T) of commercial &amp; multifamily mortgages maturing in 2026 — MBA release 2/9/2026</t>
  </si>
  <si>
    <t xml:space="preserve">MBA, mba.org newsroom 2026/02/09 · ⚠ Feb sheet said $936B; MBA's own release says $875B</t>
  </si>
  <si>
    <t xml:space="preserve">National Debt Refinancing</t>
  </si>
  <si>
    <t xml:space="preserve">Gross national debt $40.07T (9/24/2026), +$1.5T since Feb 4 ($38.56T); debt limit $41.1T (OBBBA, Jul 2025); next X-date 2027</t>
  </si>
  <si>
    <t xml:space="preserve">Treasury Fiscal Data "Debt to the Penny" · Bipartisan Policy Center (X-date)</t>
  </si>
  <si>
    <t xml:space="preserve">Rate Repricing Impact</t>
  </si>
  <si>
    <t xml:space="preserve">Avg rate on marketable debt 3.475% (Aug 2026) vs 3.348% (Jan 2026) · 10Y 5.17%, 30Y 5.49% (9/25/2026)</t>
  </si>
  <si>
    <t xml:space="preserve">Treasury Fiscal Data "Average Interest Rates"; Treasury par curve 9/25 · long end MORE elevated than in Feb</t>
  </si>
  <si>
    <t xml:space="preserve">Interest Cost Bomb</t>
  </si>
  <si>
    <t xml:space="preserve">Net interest passed $1T annualized in Aug 2026; FY26 deficit $2.0T through 11 months (~$1.9T projected full year)</t>
  </si>
  <si>
    <t xml:space="preserve">CBO Monthly Budget Review, Aug 2026 (cbo.gov/publication/61984)</t>
  </si>
  <si>
    <t xml:space="preserve">HTM Accounting Fiction</t>
  </si>
  <si>
    <t xml:space="preserve">Bank unrealized securities losses $326.7B in Q2 2026 (HTM $216.9B, AFS $109.8B) — down 17.4% YoY, 5.5% of amortized cost</t>
  </si>
  <si>
    <t xml:space="preserve">FDIC Quarterly Banking Profile Q2 2026 (figures via secondary summaries — verify against the QBP PDF)</t>
  </si>
  <si>
    <t xml:space="preserve">Reporting Rule Change</t>
  </si>
  <si>
    <t xml:space="preserve">Modified loans can fall off bank reporting after 1 year — some lenders applying Q4 2025</t>
  </si>
  <si>
    <t xml:space="preserve">CRE Daily — makes distress LESS visible as it peaks</t>
  </si>
  <si>
    <t xml:space="preserve">Transmission Mechanism</t>
  </si>
  <si>
    <t xml:space="preserve">Regional banks hold ~60% of near-term maturing CRE loans directly on balance sheets</t>
  </si>
  <si>
    <t xml:space="preserve">S&amp;P data · Fed H.8: small domestic banks hold $2.10T of $3.13T bank CRE loans (67%)</t>
  </si>
  <si>
    <t xml:space="preserve">Bank Vulnerability</t>
  </si>
  <si>
    <t xml:space="preserve">278 banks identified with dangerous CRE concentration levels</t>
  </si>
  <si>
    <t xml:space="preserve">Kaplan Group · ⚠ not updated since Feb — no fresh source found</t>
  </si>
  <si>
    <t xml:space="preserve">Over 900 Banks</t>
  </si>
  <si>
    <t xml:space="preserve">Over 900 banks carry CRE exposure above 300% of capital</t>
  </si>
  <si>
    <t xml:space="preserve">Regulatory data · ⚠ not updated since Feb — no fresh source found</t>
  </si>
  <si>
    <t xml:space="preserve">NEW SINCE FEB (mostly AGAINST the thesis)</t>
  </si>
  <si>
    <t xml:space="preserve">Deregulation</t>
  </si>
  <si>
    <t xml:space="preserve">Basel III Endgame re-proposal 3/19/2026: ~$87.7B CET1 relief (~5.2% for large regionals); Fed plans to raise enhanced-oversight thresholds ($100B→~$150B) — reported 9/25/2026</t>
  </si>
  <si>
    <t xml:space="preserve">Freshfields/Debevoise (Mar 2026); Reuters 9/25/2026 · net POSITIVE for regionals</t>
  </si>
  <si>
    <t xml:space="preserve">M&amp;A wave</t>
  </si>
  <si>
    <t xml:space="preserve">Fifth Third–Comerica closed 2/1/2026 (~$12.7B); Huntington–Cadence closed early 2026; bank mergers at a 7-year high</t>
  </si>
  <si>
    <t xml:space="preserve">Fifth Third IR; Yahoo Finance · takeover premium supports KRE</t>
  </si>
  <si>
    <t xml:space="preserve">Bank failures 2026</t>
  </si>
  <si>
    <t xml:space="preserve">Only two, both tiny: Metropolitan Capital (Chicago, $261M, 1/30) and Tioga-Franklin Savings ($68M, 8/21)</t>
  </si>
  <si>
    <t xml:space="preserve">American Banker; FDIC failed-bank list (Tioga-Franklin via secondary — verify at fdic.gov)</t>
  </si>
  <si>
    <t xml:space="preserve">FDIC Q2 2026 health</t>
  </si>
  <si>
    <t xml:space="preserve">Industry ROA 1.37%, net income $90.1B (+12% QoQ), NIM 3.32%; past-due and net charge-off rates DECLINED QoQ; problem banks 47 (1.1%)</t>
  </si>
  <si>
    <t xml:space="preserve">FDIC QBP Q2 2026 press release</t>
  </si>
  <si>
    <t xml:space="preserve">Flagstar (ex-NYCB)</t>
  </si>
  <si>
    <t xml:space="preserve">Back to profit Q1 2026 after cutting CRE/multifamily $50.6B → $38.3B; Q2 provision $18M; CRE concentration 367% → 350%</t>
  </si>
  <si>
    <t xml:space="preserve">The Real Deal 2/2/2026; Flagstar Q2 8-K (SEC)</t>
  </si>
  <si>
    <t xml:space="preserve">Office CMBS losses realizing</t>
  </si>
  <si>
    <t xml:space="preserve">~$64B office CMBS due within two years, ~$40B already delinquent/defaulted/troubled; distressed sales ~20% below latest appraisals (Deutsche Bank)</t>
  </si>
  <si>
    <t xml:space="preserve">Bloomberg/ZeroHedge Sep 2026; CREFC July 2026 · losses landing in CMBS, not bank equity</t>
  </si>
  <si>
    <t xml:space="preserve">SEPTEMBER 2026 SCORECARD — WHAT THE FEB THESIS SAID vs WHAT HAPPENED</t>
  </si>
  <si>
    <t xml:space="preserve">Bottom line: CRE distress was REAL and is now realizing — but in CMBS and office bonds, not in bank equity. KRE is flat ($71.28 → $71.55); the Dec-31 puts are down ~70-85%.</t>
  </si>
  <si>
    <t xml:space="preserve">THESIS LEG</t>
  </si>
  <si>
    <t xml:space="preserve">FEB CLAIM</t>
  </si>
  <si>
    <t xml:space="preserve">SEP 2026 REALITY</t>
  </si>
  <si>
    <t xml:space="preserve">VERDICT</t>
  </si>
  <si>
    <t xml:space="preserve">SOURCE</t>
  </si>
  <si>
    <t xml:space="preserve">Office CMBS distress</t>
  </si>
  <si>
    <t xml:space="preserve">Office delinquency 12.34% record and accelerating</t>
  </si>
  <si>
    <t xml:space="preserve">Plateaued ~11.5-12%; losses now REALIZING (sales ~20% below appraisal; Aon Center −73%)</t>
  </si>
  <si>
    <t xml:space="preserve">RIGHT (in CMBS)</t>
  </si>
  <si>
    <t xml:space="preserve">Trepp via CPE; Deutsche Bank/CREFC; Bloomberg</t>
  </si>
  <si>
    <t xml:space="preserve">Multifamily "second shoe"</t>
  </si>
  <si>
    <t xml:space="preserve">Freddie MF delinquency 0.48%, 21-yr high</t>
  </si>
  <si>
    <t xml:space="preserve">0.64% (Aug) — still rising; CMBS MF 6.94% → 7.69%</t>
  </si>
  <si>
    <t xml:space="preserve">RIGHT</t>
  </si>
  <si>
    <t xml:space="preserve">Freddie Mac MVS Aug 2026; Trepp</t>
  </si>
  <si>
    <t xml:space="preserve">Bank-held CRE losses</t>
  </si>
  <si>
    <t xml:space="preserve">Maturity wall forces banks to recognize losses</t>
  </si>
  <si>
    <t xml:space="preserve">FRED bank CRE delinquency 1.53% (Q2) — flat/down; FDIC Q2 charge-offs DOWN QoQ</t>
  </si>
  <si>
    <t xml:space="preserve">WRONG (so far)</t>
  </si>
  <si>
    <t xml:space="preserve">FRED DRCRELEXFACBS; FDIC QBP Q2 2026</t>
  </si>
  <si>
    <t xml:space="preserve">NYCB-style blowup</t>
  </si>
  <si>
    <t xml:space="preserve">Specific bank blows up Q2-Q3</t>
  </si>
  <si>
    <t xml:space="preserve">None — only $261M + $68M failures; Flagstar back to profit</t>
  </si>
  <si>
    <t xml:space="preserve">WRONG</t>
  </si>
  <si>
    <t xml:space="preserve">American Banker; Flagstar 8-K</t>
  </si>
  <si>
    <t xml:space="preserve">Lending standards</t>
  </si>
  <si>
    <t xml:space="preserve">Only 9% tightening = complacency</t>
  </si>
  <si>
    <t xml:space="preserve">Net ~18.8% tightening (Jul SLOOS) — caution rising</t>
  </si>
  <si>
    <t xml:space="preserve">MIXED</t>
  </si>
  <si>
    <t xml:space="preserve">Fed SLOOS Jul 2026</t>
  </si>
  <si>
    <t xml:space="preserve">Rates / national debt</t>
  </si>
  <si>
    <t xml:space="preserve">Long end stays high; interest cost bomb</t>
  </si>
  <si>
    <t xml:space="preserve">10Y 5.17%, 30Y 5.49%; debt $40.07T; net interest &gt;$1T annualized</t>
  </si>
  <si>
    <t xml:space="preserve">Treasury; CBO</t>
  </si>
  <si>
    <t xml:space="preserve">Regulatory backdrop</t>
  </si>
  <si>
    <t xml:space="preserve">Forbearance hides losses (a risk)</t>
  </si>
  <si>
    <t xml:space="preserve">Active DEREGULATION: Basel re-proposal, oversight thresholds up, M&amp;A at 7-yr high</t>
  </si>
  <si>
    <t xml:space="preserve">AGAINST</t>
  </si>
  <si>
    <t xml:space="preserve">Freshfields; Reuters 9/25/2026</t>
  </si>
  <si>
    <t xml:space="preserve">KRE price</t>
  </si>
  <si>
    <t xml:space="preserve">$71.28 → target $40-50</t>
  </si>
  <si>
    <t xml:space="preserve">$71.55; low $62.62 (3/18), high $77.93 (8/14)</t>
  </si>
  <si>
    <t xml:space="preserve">Nasdaq</t>
  </si>
  <si>
    <t xml:space="preserve">Early exit trigger</t>
  </si>
  <si>
    <t xml:space="preserve">Take profits if KRE $60-65 with 6+ months left</t>
  </si>
  <si>
    <t xml:space="preserve">FIRED 3/18 at $62.62 with 9 months left</t>
  </si>
  <si>
    <t xml:space="preserve">FIRED</t>
  </si>
  <si>
    <t xml:space="preserve">WHY IT MISSED</t>
  </si>
  <si>
    <t xml:space="preserve">The losses landed on CMBS bondholders and private credit, not on regional-bank equity. Banks had cut CRE (Flagstar −$12B), reserved gradually, and got a deregulation + M&amp;A tailwind. Right about the asset, wrong about who holds it.</t>
  </si>
  <si>
    <t xml:space="preserve">What moves it from here</t>
  </si>
  <si>
    <t xml:space="preserve">Puts need KRE below $60 (−16%) inside 96 days. Plausible path = a broad credit event (the AI-debt / rates loop), not CRE alone. Watch: ICE IG/BBB spreads with the 10Y &gt;5%; Q3 bank earnings (mid-Oct); Trepp Sep report.</t>
  </si>
  <si>
    <t xml:space="preserve">Green cells across the workbook = updated 9/26/2026. Secondary-sourced figures are flagged in their notes.</t>
  </si>
  <si>
    <t xml:space="preserve">CMBS DELINQUENCY RATES — TRACKING THE COLLAPSE</t>
  </si>
  <si>
    <t xml:space="preserve">Period</t>
  </si>
  <si>
    <t xml:space="preserve">Overall CMBS</t>
  </si>
  <si>
    <t xml:space="preserve">Office</t>
  </si>
  <si>
    <t xml:space="preserve">Multifamily</t>
  </si>
  <si>
    <t xml:space="preserve">Retail</t>
  </si>
  <si>
    <t xml:space="preserve">Lodging</t>
  </si>
  <si>
    <t xml:space="preserve">Industrial</t>
  </si>
  <si>
    <t xml:space="preserve">2023 (Year End)</t>
  </si>
  <si>
    <t xml:space="preserve">4.51%</t>
  </si>
  <si>
    <t xml:space="preserve">—</t>
  </si>
  <si>
    <t xml:space="preserve">Dec 2024</t>
  </si>
  <si>
    <t xml:space="preserve">6.57%</t>
  </si>
  <si>
    <t xml:space="preserve">11.01% (record then)</t>
  </si>
  <si>
    <t xml:space="preserve">Mar 2025</t>
  </si>
  <si>
    <t xml:space="preserve">6.65%</t>
  </si>
  <si>
    <t xml:space="preserve">7.82% (peak)</t>
  </si>
  <si>
    <t xml:space="preserve">May 2025</t>
  </si>
  <si>
    <t xml:space="preserve">7.08%</t>
  </si>
  <si>
    <t xml:space="preserve">Nov 2025</t>
  </si>
  <si>
    <t xml:space="preserve">7.26%</t>
  </si>
  <si>
    <t xml:space="preserve">Dec 2025</t>
  </si>
  <si>
    <t xml:space="preserve">7.30%</t>
  </si>
  <si>
    <t xml:space="preserve">11.76% (ATH then)</t>
  </si>
  <si>
    <t xml:space="preserve">6.94%</t>
  </si>
  <si>
    <t xml:space="preserve">7.04%</t>
  </si>
  <si>
    <t xml:space="preserve">5.56%</t>
  </si>
  <si>
    <t xml:space="preserve">0.62%</t>
  </si>
  <si>
    <t xml:space="preserve">Jan 2026</t>
  </si>
  <si>
    <t xml:space="preserve">7.47% (Trepp) / 8.1% (KBRA)</t>
  </si>
  <si>
    <t xml:space="preserve">12.34% (ALL-TIME HIGH)</t>
  </si>
  <si>
    <t xml:space="preserve">Feb 2026</t>
  </si>
  <si>
    <t xml:space="preserve">7.14%</t>
  </si>
  <si>
    <t xml:space="preserve">11.20%</t>
  </si>
  <si>
    <t xml:space="preserve">Mar 2026</t>
  </si>
  <si>
    <t xml:space="preserve">7.55%</t>
  </si>
  <si>
    <t xml:space="preserve">11.71%</t>
  </si>
  <si>
    <t xml:space="preserve">Apr 2026</t>
  </si>
  <si>
    <t xml:space="preserve">7.54%</t>
  </si>
  <si>
    <t xml:space="preserve">11.69%</t>
  </si>
  <si>
    <t xml:space="preserve">May 2026</t>
  </si>
  <si>
    <t xml:space="preserve">11.53%</t>
  </si>
  <si>
    <t xml:space="preserve">Jun 2026</t>
  </si>
  <si>
    <t xml:space="preserve">7.35%</t>
  </si>
  <si>
    <t xml:space="preserve">11.57%</t>
  </si>
  <si>
    <t xml:space="preserve">Jul 2026</t>
  </si>
  <si>
    <t xml:space="preserve">7.86%</t>
  </si>
  <si>
    <t xml:space="preserve">11.91%</t>
  </si>
  <si>
    <t xml:space="preserve">7.69%</t>
  </si>
  <si>
    <t xml:space="preserve">6.96%</t>
  </si>
  <si>
    <t xml:space="preserve">5.35%</t>
  </si>
  <si>
    <t xml:space="preserve">1.13%</t>
  </si>
  <si>
    <t xml:space="preserve">Aug 2026</t>
  </si>
  <si>
    <t xml:space="preserve">7.85%</t>
  </si>
  <si>
    <t xml:space="preserve">~12% (exact % n/a)</t>
  </si>
  <si>
    <t xml:space="preserve">n/a</t>
  </si>
  <si>
    <t xml:space="preserve">TREND</t>
  </si>
  <si>
    <t xml:space="preserve">↔ 7.47% (Jan) → 7.85% (Aug) — below the 8% trigger</t>
  </si>
  <si>
    <t xml:space="preserve">↔ PLATEAU — 12.34% record (Jan), ~11.5-12% since</t>
  </si>
  <si>
    <t xml:space="preserve">↑ STILL RISING — 6.94% → 7.69%</t>
  </si>
  <si>
    <t xml:space="preserve">↔ 7.04% → 6.96% (Jul)</t>
  </si>
  <si>
    <t xml:space="preserve">↓ 5.56% → 5.35% (Jul)</t>
  </si>
  <si>
    <t xml:space="preserve">↑ 0.62% → 1.13% (Jul, low base)</t>
  </si>
  <si>
    <t xml:space="preserve">GFC Comparison</t>
  </si>
  <si>
    <t xml:space="preserve">~10% peak</t>
  </si>
  <si>
    <t xml:space="preserve">Office didn't exist as separate category</t>
  </si>
  <si>
    <t xml:space="preserve">DISTRESS RATE (REIT Bros)</t>
  </si>
  <si>
    <t xml:space="preserve">CRED iQ Jul 2026: 10.91% overall (Jan ~12%)</t>
  </si>
  <si>
    <t xml:space="preserve">CRED iQ Jul 2026: 16.65% office (Jan ~18%)</t>
  </si>
  <si>
    <t xml:space="preserve">CRED iQ forecast: 14.5-15% overall by Dec 2026</t>
  </si>
  <si>
    <t xml:space="preserve">Distress = delinquent + specially serviced</t>
  </si>
  <si>
    <t xml:space="preserve">KBRA Aug 2026: delinquency 7.6% (Jan 8.1%), distress 10.3%</t>
  </si>
  <si>
    <t xml:space="preserve">Sources: Commercial Observer (CRED iQ) Aug 2026; KBRA Loan Performance Trends Aug 2026</t>
  </si>
  <si>
    <t xml:space="preserve">MULTIFAMILY — THE SECOND SHOE DROPPING</t>
  </si>
  <si>
    <t xml:space="preserve">UPDATE (Sep 24, 2026): Freddie Mac multifamily serious delinquency 0.64% (Aug 2026) — new series high, up from 0.48% cited in Feb</t>
  </si>
  <si>
    <t xml:space="preserve">METRIC</t>
  </si>
  <si>
    <t xml:space="preserve">WHY IT MATTERS FOR KRE</t>
  </si>
  <si>
    <t xml:space="preserve">Freddie Mac Serious Delinquency</t>
  </si>
  <si>
    <t xml:space="preserve">0.64% — Aug 2026 (released 9/24/2026), up from 0.60% in July · Feb sheet cited 0.48%; Freddie's own Feb 2026 print was 0.42%</t>
  </si>
  <si>
    <t xml:space="preserve">Freddie Mac Monthly Volume Summary (Aug 2026, Table 6) · still well above the GFC peak (~0.45%)</t>
  </si>
  <si>
    <t xml:space="preserve">Trajectory</t>
  </si>
  <si>
    <t xml:space="preserve">~0.02% (2022) → 0.42% (Feb 2026) → 0.60% (Jul) → 0.64% (Aug 2026)</t>
  </si>
  <si>
    <t xml:space="preserve">STILL RISING — this is the leg of the thesis that kept worsening</t>
  </si>
  <si>
    <t xml:space="preserve">Why This Is Worse Than Office for Banks</t>
  </si>
  <si>
    <t xml:space="preserve">Office CRE largely sits in CMBS (securitized, off balance sheet); Multifamily sits DIRECTLY on regional bank books</t>
  </si>
  <si>
    <t xml:space="preserve">Regional banks are the PRIMARY direct lenders for apartments and small complexes</t>
  </si>
  <si>
    <t xml:space="preserve">What's Driving It</t>
  </si>
  <si>
    <t xml:space="preserve">2021-2022 investors bought at 3-4% cap rates with floating rate bridge loans betting on rent growth</t>
  </si>
  <si>
    <t xml:space="preserve">Rate resets to 7%+, insurance costs doubled, property taxes up, rent growth stalled/negative</t>
  </si>
  <si>
    <t xml:space="preserve">Oversupplied Markets</t>
  </si>
  <si>
    <t xml:space="preserve">Austin, Phoenix, Atlanta — rent growth negative in many Sun Belt markets</t>
  </si>
  <si>
    <t xml:space="preserve">Debt service now exceeds property income — owners walking away</t>
  </si>
  <si>
    <t xml:space="preserve">Market Narrative Shift</t>
  </si>
  <si>
    <t xml:space="preserve">Current narrative: 'CRE stress is contained to office'</t>
  </si>
  <si>
    <t xml:space="preserve">When narrative shifts to 'broad CRE problem' including multifamily — KRE reprices sharply</t>
  </si>
  <si>
    <t xml:space="preserve">CMBS Multifamily Delinquency</t>
  </si>
  <si>
    <t xml:space="preserve">7.69% (Jul &amp; Aug 2026, Trepp) vs 6.94% in Dec 2025</t>
  </si>
  <si>
    <t xml:space="preserve">Multifamily CMBS delinquency +75bp since the Feb sheet — confirms trend</t>
  </si>
  <si>
    <t xml:space="preserve">Scale</t>
  </si>
  <si>
    <t xml:space="preserve">Multifamily is a MUCH larger asset class than office</t>
  </si>
  <si>
    <t xml:space="preserve">More total exposure on regional bank balance sheets</t>
  </si>
  <si>
    <t xml:space="preserve">EXTEND AND PRETEND — THE STRATEGY IS FAILING</t>
  </si>
  <si>
    <t xml:space="preserve">IMPLICATION</t>
  </si>
  <si>
    <t xml:space="preserve">Double Defaults (Re-defaults)</t>
  </si>
  <si>
    <t xml:space="preserve">⚠ The $5.5B / +90% YoY figure traces to a Nov 2024 CRE Daily article — stale; no 2026 update found</t>
  </si>
  <si>
    <t xml:space="preserve">Replacement metric: KBRA CRE CLO study (6/4/2026) — cumulative distress (defaults + modifications) 22.9%, up from 7.8% in the prior study</t>
  </si>
  <si>
    <t xml:space="preserve">Double Default Level</t>
  </si>
  <si>
    <t xml:space="preserve">Decade-high claim not re-verified for 2026</t>
  </si>
  <si>
    <t xml:space="preserve">Trend is accelerating, not stabilizing</t>
  </si>
  <si>
    <t xml:space="preserve">Typical Modification Relief</t>
  </si>
  <si>
    <t xml:space="preserve">Only ~2% lower payments on average</t>
  </si>
  <si>
    <t xml:space="preserve">Insufficient to save borrowers facing 7%+ refinancing rates</t>
  </si>
  <si>
    <t xml:space="preserve">HTM Accounting</t>
  </si>
  <si>
    <t xml:space="preserve">Banks classify underwater bonds as 'held-to-maturity' to avoid marking losses</t>
  </si>
  <si>
    <t xml:space="preserve">Hides billions in unrealized losses — exact SVB playbook</t>
  </si>
  <si>
    <t xml:space="preserve">New Reporting Rule</t>
  </si>
  <si>
    <t xml:space="preserve">Modified loans fall off reporting after 1 year — effective Q4 2025</t>
  </si>
  <si>
    <t xml:space="preserve">Distress becomes INVISIBLE just as maturity wall peaks in 2026</t>
  </si>
  <si>
    <t xml:space="preserve">Lending Standards</t>
  </si>
  <si>
    <t xml:space="preserve">July 2026 SLOOS: net ~18.8% of banks TIGHTENING CRE standards (vs ~9% in the Feb reference)</t>
  </si>
  <si>
    <t xml:space="preserve">Reversal: banks are getting more cautious — the Feb dashboard named this as the "banks getting scared" signal (moderate, not 2023-level 67%)</t>
  </si>
  <si>
    <t xml:space="preserve">Bull Case Rebuttal (Whalen)</t>
  </si>
  <si>
    <t xml:space="preserve">'Modifications are a lower-loss path giving borrowers time to recover'</t>
  </si>
  <si>
    <t xml:space="preserve">Recover into WHAT? Vacancies rising, rates elevated, double defaults surging 90%</t>
  </si>
  <si>
    <t xml:space="preserve">Mezzanine Debt Stress</t>
  </si>
  <si>
    <t xml:space="preserve">'That mezz stuff is where there's pain in the cycle' — MSCI's Jim Costello</t>
  </si>
  <si>
    <t xml:space="preserve">Bridge/mezz layers propping up deals are themselves under stress</t>
  </si>
  <si>
    <t xml:space="preserve">Private Credit Exposure</t>
  </si>
  <si>
    <t xml:space="preserve">Non-bank lenders raised $137B+ since 2020 via 430+ debt funds</t>
  </si>
  <si>
    <t xml:space="preserve">Another layer of complexity — when private credit pulls back, banks get hit</t>
  </si>
  <si>
    <t xml:space="preserve">Realized losses (NEW)</t>
  </si>
  <si>
    <t xml:space="preserve">Office CMBS distressed sales clearing ~20% below latest appraisals in 2026 (Deutsche Bank); Chicago Aon Center appraised $195M vs $712M 2015 purchase (−73%), refi denied July 2026</t>
  </si>
  <si>
    <t xml:space="preserve">Extend-and-pretend ending in CMBS — losses crystallizing for bondholders</t>
  </si>
  <si>
    <t xml:space="preserve">NATIONAL DEBT REFINANCING — STRUCTURAL HEADWIND</t>
  </si>
  <si>
    <t xml:space="preserve">IMPACT ON KRE THESIS</t>
  </si>
  <si>
    <t xml:space="preserve">Total Gross National Debt</t>
  </si>
  <si>
    <t xml:space="preserve">$40.07 trillion (as of Sep 24, 2026)</t>
  </si>
  <si>
    <t xml:space="preserve">+$1.51T since Feb 4 ($38.56T) ≈ $6.5B per day</t>
  </si>
  <si>
    <t xml:space="preserve">Debt Maturing (12 months)</t>
  </si>
  <si>
    <t xml:space="preserve">~$9.3-10 trillion (33%) — ⚠ Feb figure, not refreshed</t>
  </si>
  <si>
    <t xml:space="preserve">Massive refinancing volume keeps rates elevated</t>
  </si>
  <si>
    <t xml:space="preserve">Repricing Higher</t>
  </si>
  <si>
    <t xml:space="preserve">$3.1T+ last issued 2+ years ago at lower rates</t>
  </si>
  <si>
    <t xml:space="preserve">Reissued at higher rates — increases interest burden</t>
  </si>
  <si>
    <t xml:space="preserve">Average Interest Rate</t>
  </si>
  <si>
    <t xml:space="preserve">3.475% (Aug 2026) vs 3.348% (Jan 2026) vs 1.541% five years ago</t>
  </si>
  <si>
    <t xml:space="preserve">+13bp since Jan — every rollover still costs more</t>
  </si>
  <si>
    <t xml:space="preserve">Net Interest Costs</t>
  </si>
  <si>
    <t xml:space="preserve">Net interest passed $1 trillion annualized in Aug 2026 (CBO); CBO path ~$1.0T (2026) → $2.1T (2036)</t>
  </si>
  <si>
    <t xml:space="preserve">FY2026 deficit $2.0T through 11 months; ~$1.9T projected full year</t>
  </si>
  <si>
    <t xml:space="preserve">Debt Growth Rate</t>
  </si>
  <si>
    <t xml:space="preserve">+$1.51T in ~7.5 months (Feb 4 → Sep 24, 2026)</t>
  </si>
  <si>
    <t xml:space="preserve">≈ $75,000 per SECOND</t>
  </si>
  <si>
    <t xml:space="preserve">Debt Per Household</t>
  </si>
  <si>
    <t xml:space="preserve">$286,108 gross national debt per household</t>
  </si>
  <si>
    <t xml:space="preserve">Debt Ceiling</t>
  </si>
  <si>
    <t xml:space="preserve">Debt limit $41.1T after OBBBA (+$5T, Jul 2025) — ~$1T headroom</t>
  </si>
  <si>
    <t xml:space="preserve">Next X-date projected 2027 — not a 2026 catalyst</t>
  </si>
  <si>
    <t xml:space="preserve">OBBBA Impact</t>
  </si>
  <si>
    <t xml:space="preserve">Adds $4.1 trillion in new 10-year debt (largest since 2022)</t>
  </si>
  <si>
    <t xml:space="preserve">If permanent provisions extended: $5.5 trillion added</t>
  </si>
  <si>
    <t xml:space="preserve">WHY THIS MATTERS FOR KRE</t>
  </si>
  <si>
    <t xml:space="preserve">Duration Mismatch</t>
  </si>
  <si>
    <t xml:space="preserve">Banks holding long-dated bonds at low rates bleed unrealized losses</t>
  </si>
  <si>
    <t xml:space="preserve">Same SVB dynamic, just slower</t>
  </si>
  <si>
    <t xml:space="preserve">CRE Double Hit</t>
  </si>
  <si>
    <t xml:space="preserve">Treasury refunding keeps long end elevated → CRE refinancing gets more painful</t>
  </si>
  <si>
    <t xml:space="preserve">Feeds directly into CRE default thesis</t>
  </si>
  <si>
    <t xml:space="preserve">NIM Compression</t>
  </si>
  <si>
    <t xml:space="preserve">FDIC Q2 2026: industry NIM 3.32% (+1bp QoQ), ROA 1.37%</t>
  </si>
  <si>
    <t xml:space="preserve">Aggregate earnings pressure NOT showing</t>
  </si>
  <si>
    <t xml:space="preserve">Crowding Effect</t>
  </si>
  <si>
    <t xml:space="preserve">Massive Treasury issuance competes with CRE lending for capital</t>
  </si>
  <si>
    <t xml:space="preserve">Less capital available for CRE refinancing</t>
  </si>
  <si>
    <t xml:space="preserve">CATALYST TIMELINE — EXPECTED SEQUENCE OF EVENTS</t>
  </si>
  <si>
    <t xml:space="preserve">TIMING</t>
  </si>
  <si>
    <t xml:space="preserve">EVENT</t>
  </si>
  <si>
    <t xml:space="preserve">EXPECTED IMPACT</t>
  </si>
  <si>
    <t xml:space="preserve">WHAT HAPPENED (as of 9/26/2026)</t>
  </si>
  <si>
    <t xml:space="preserve">NOW (Feb 2026)</t>
  </si>
  <si>
    <t xml:space="preserve">Office CMBS delinquency at 12.34% ATH; Multifamily delinquency at 21-year high</t>
  </si>
  <si>
    <t xml:space="preserve">Thesis inputs accelerating — early confirmation</t>
  </si>
  <si>
    <t xml:space="preserve">Office peaked at 12.34% (Jan) and plateaued ~11.5-12%; multifamily kept rising (Freddie 0.64% Aug)</t>
  </si>
  <si>
    <t xml:space="preserve">Q1 2026 (Mar-Apr)</t>
  </si>
  <si>
    <t xml:space="preserve">Regional bank Q4 2025 / Q1 2026 earnings — watch for rising CRE provisions</t>
  </si>
  <si>
    <t xml:space="preserve">First public recognition of losses; potential negative guidance</t>
  </si>
  <si>
    <t xml:space="preserve">KRE −12% into 3/18 ($62.62) on NYCB/CRE fears, then recovered; Flagstar returned to profit in Q1 after cutting CRE $50.6B → $38.3B</t>
  </si>
  <si>
    <t xml:space="preserve">Q2 2026 (Apr-Jun)</t>
  </si>
  <si>
    <t xml:space="preserve">Modified loans fall off reporting (1-year rule) — distress becomes less visible</t>
  </si>
  <si>
    <t xml:space="preserve">False sense of security in data; actual losses continue building</t>
  </si>
  <si>
    <t xml:space="preserve">Not measurable — no data found on loans dropping off reporting</t>
  </si>
  <si>
    <t xml:space="preserve">Q2-Q3 2026</t>
  </si>
  <si>
    <t xml:space="preserve">$936B CRE maturity wall hits peak — borrowers forced to refinance at 6-7%+</t>
  </si>
  <si>
    <t xml:space="preserve">Wave of defaults as refinancing math doesn't work</t>
  </si>
  <si>
    <t xml:space="preserve">MBA: $875B maturing in 2026. Office CMBS: ~$40B of $64B due troubled; sales ~20% below appraisal — losses land in CMBS, not bank failures</t>
  </si>
  <si>
    <t xml:space="preserve">Specific bank name blows up (NYCB-style event)</t>
  </si>
  <si>
    <t xml:space="preserve">Contagion fear hits entire KRE basket</t>
  </si>
  <si>
    <t xml:space="preserve">DID NOT HAPPEN — only two tiny failures (Metropolitan Capital $261M, Tioga-Franklin $68M)</t>
  </si>
  <si>
    <t xml:space="preserve">Q3 2026 (Jul-Sep)</t>
  </si>
  <si>
    <t xml:space="preserve">Q2 earnings reveal charge-offs and write-downs; double defaults continue surging</t>
  </si>
  <si>
    <t xml:space="preserve">KRE sells off sharply — puts gain significant value</t>
  </si>
  <si>
    <t xml:space="preserve">DID NOT HAPPEN — FDIC Q2: charge-off and past-due rates declined QoQ; problem banks 47 (1.1%)</t>
  </si>
  <si>
    <t xml:space="preserve">Q3-Q4 2026</t>
  </si>
  <si>
    <t xml:space="preserve">Narrative shifts from 'office problem' to 'broad CRE crisis' including multifamily</t>
  </si>
  <si>
    <t xml:space="preserve">Repricing event for entire regional bank sector</t>
  </si>
  <si>
    <t xml:space="preserve">PARTIAL — multifamily data worsening, but the market narrative is deregulation + M&amp;A (KRE high $77.93 on 8/14)</t>
  </si>
  <si>
    <t xml:space="preserve">Dec 31, 2026</t>
  </si>
  <si>
    <t xml:space="preserve">PUT EXPIRATION — thesis should have played out by now</t>
  </si>
  <si>
    <t xml:space="preserve">Sell to close before expiration; don't hold to last day</t>
  </si>
  <si>
    <t xml:space="preserve">96 days left; $60 put last $0.48 (vs $2.86 Feb), $65 put $1.63 (vs $5.72)</t>
  </si>
  <si>
    <t xml:space="preserve">EARLY EXIT TRIGGERS</t>
  </si>
  <si>
    <t xml:space="preserve">Vol Spike + Drop</t>
  </si>
  <si>
    <t xml:space="preserve">KRE drops to $60-65 with 6+ months left</t>
  </si>
  <si>
    <t xml:space="preserve">Puts could be worth $10-15+ on intrinsic + time + vol — take profits</t>
  </si>
  <si>
    <t xml:space="preserve">FIRED — KRE closed $62.62 on 3/18 with 9 months left (inside the $60-65 zone)</t>
  </si>
  <si>
    <t xml:space="preserve">Contagion Event</t>
  </si>
  <si>
    <t xml:space="preserve">Specific bank failure or FDIC action</t>
  </si>
  <si>
    <t xml:space="preserve">Sell into the panic — vol will be maximum</t>
  </si>
  <si>
    <t xml:space="preserve">Did not occur</t>
  </si>
  <si>
    <t xml:space="preserve">Narrative Shift</t>
  </si>
  <si>
    <t xml:space="preserve">Financial media shifts to 'banking crisis' coverage</t>
  </si>
  <si>
    <t xml:space="preserve">Usually marks the point of maximum fear — good exit</t>
  </si>
  <si>
    <t xml:space="preserve">MONITORING DASHBOARD — WHAT TO TRACK</t>
  </si>
  <si>
    <t xml:space="preserve">DATA SOURCE</t>
  </si>
  <si>
    <t xml:space="preserve">FREQUENCY</t>
  </si>
  <si>
    <t xml:space="preserve">WHAT TO WATCH</t>
  </si>
  <si>
    <t xml:space="preserve">FRED CRE Delinquency (DRCRELEXFACBS)</t>
  </si>
  <si>
    <t xml:space="preserve">Quarterly</t>
  </si>
  <si>
    <t xml:space="preserve">Q2 2026: 1.53% (SA) — Q4-25 1.58%, Q1-26 1.56% → edging DOWN · ⚠ Feb sheet's 1.27% doesn't match FRED's current history (likely revised)</t>
  </si>
  <si>
    <t xml:space="preserve">Trepp CMBS Delinquency Report</t>
  </si>
  <si>
    <t xml:space="preserve">Monthly</t>
  </si>
  <si>
    <t xml:space="preserve">Aug 2026: overall 7.85% (&gt;8% trigger NOT hit); office ~12% (Jul 11.91%; &gt;13% trigger NOT hit)</t>
  </si>
  <si>
    <t xml:space="preserve">Freddie Mac Multifamily Delinquency</t>
  </si>
  <si>
    <t xml:space="preserve">Monthly/Quarterly</t>
  </si>
  <si>
    <t xml:space="preserve">0.64% (Aug 2026) — new series high, still rising</t>
  </si>
  <si>
    <t xml:space="preserve">KBRA CMBS Delinquency</t>
  </si>
  <si>
    <t xml:space="preserve">Aug 2026: 7.6% (Jul 7.8%, Jan 8.1%); KBRA distress rate 10.3%</t>
  </si>
  <si>
    <t xml:space="preserve">Fed Senior Loan Officer Survey</t>
  </si>
  <si>
    <t xml:space="preserve">Jul 2026: net ~18.8% tightening for CRE (up from ~9%) — the "banks getting scared" signal, moderate</t>
  </si>
  <si>
    <t xml:space="preserve">CRE Daily Newsletter</t>
  </si>
  <si>
    <t xml:space="preserve">Daily (free)</t>
  </si>
  <si>
    <t xml:space="preserve">Real-time distress headlines, maturity wall updates, individual deal failures</t>
  </si>
  <si>
    <t xml:space="preserve">Regional Bank Earnings Calls</t>
  </si>
  <si>
    <t xml:space="preserve">Flagstar back to profit Q1; Q2 provision $18M; CRE concentration 367% → 350% · OZK/Columbia/Valley CRE provisions not collected</t>
  </si>
  <si>
    <t xml:space="preserve">Double Default Tracking</t>
  </si>
  <si>
    <t xml:space="preserve">Quarterly/Semi-annual</t>
  </si>
  <si>
    <t xml:space="preserve">No fresh 2026 figure ($5.5B/+90% traces to 2024) — use KBRA CRE CLO distress 22.9% (Jun 2026) instead</t>
  </si>
  <si>
    <t xml:space="preserve">CBRE Stock (CBRE)</t>
  </si>
  <si>
    <t xml:space="preserve">Daily</t>
  </si>
  <si>
    <t xml:space="preserve">Proxy for CRE liquidity — when deals stop clearing, CBRE feels it first</t>
  </si>
  <si>
    <t xml:space="preserve">KRE Technical Levels</t>
  </si>
  <si>
    <t xml:space="preserve">9/25: $71.55 · 2026 closes: low $62.62 (3/18), high $77.93 (8/14) · Feb support $69.67 broke in March, reclaimed by April</t>
  </si>
  <si>
    <t xml:space="preserve">Treasury Yield Curve</t>
  </si>
  <si>
    <t xml:space="preserve">10Y 5.17%, 30Y 5.49% (9/25) — long end HIGHER than in Feb (refi pain up)</t>
  </si>
  <si>
    <t xml:space="preserve">Office Vacancy Rate</t>
  </si>
  <si>
    <t xml:space="preserve">CBRE Q2 2026: 18.3% national (−30bp QoQ, largest drop since 2015) — stabilizing</t>
  </si>
  <si>
    <t xml:space="preserve">SOCIAL MEDIA / EXPERT SOURCES</t>
  </si>
  <si>
    <t xml:space="preserve">@ReitBros</t>
  </si>
  <si>
    <t xml:space="preserve">Regular</t>
  </si>
  <si>
    <t xml:space="preserve">Distress rate tracking — forecasting 15% overall by YE 2026</t>
  </si>
  <si>
    <t xml:space="preserve">@KobeissiLetter</t>
  </si>
  <si>
    <t xml:space="preserve">KRE and regional bank analysis</t>
  </si>
  <si>
    <t xml:space="preserve">@GarrisonFathom</t>
  </si>
  <si>
    <t xml:space="preserve">CMBS-specific analysis — flagged 600% delinquency increase</t>
  </si>
  <si>
    <t xml:space="preserve">Richard Christopher Whalen (@rcwhalen)</t>
  </si>
  <si>
    <t xml:space="preserve">Bull case voice — useful for tracking counter-arguments</t>
  </si>
  <si>
    <t xml:space="preserve">Trepp Research</t>
  </si>
  <si>
    <t xml:space="preserve">Industry standard CMBS data</t>
  </si>
  <si>
    <t xml:space="preserve">Josh Rincon</t>
  </si>
  <si>
    <t xml:space="preserve">Multifamily distress data (Freddie Mac delinquency chart)</t>
  </si>
  <si>
    <t xml:space="preserve">KRE DEC 31, 2026 PUTS — OPTIONS CHAIN SNAPSHOT (2/15/2026)</t>
  </si>
  <si>
    <t xml:space="preserve">KRE: $71.28 | Expires in 319 days | Source: Fidelity</t>
  </si>
  <si>
    <t xml:space="preserve">Strike</t>
  </si>
  <si>
    <t xml:space="preserve">Bid (Sell)</t>
  </si>
  <si>
    <t xml:space="preserve">Ask (Buy)</t>
  </si>
  <si>
    <t xml:space="preserve">Last (Chg)</t>
  </si>
  <si>
    <t xml:space="preserve">Notes</t>
  </si>
  <si>
    <t xml:space="preserve">0.00</t>
  </si>
  <si>
    <t xml:space="preserve">No liquidity — avoid</t>
  </si>
  <si>
    <t xml:space="preserve">1.38</t>
  </si>
  <si>
    <t xml:space="preserve">Wide spread — placeholder ask</t>
  </si>
  <si>
    <t xml:space="preserve">Barely liquid</t>
  </si>
  <si>
    <t xml:space="preserve">2.83</t>
  </si>
  <si>
    <t xml:space="preserve">Starting to show real trades</t>
  </si>
  <si>
    <t xml:space="preserve">2.86</t>
  </si>
  <si>
    <t xml:space="preserve">★ PRIMARY TARGET — best risk/reward</t>
  </si>
  <si>
    <t xml:space="preserve">4.30</t>
  </si>
  <si>
    <t xml:space="preserve">5.72</t>
  </si>
  <si>
    <t xml:space="preserve">★ ALTERNATIVE — more delta, higher cost</t>
  </si>
  <si>
    <t xml:space="preserve">6.43</t>
  </si>
  <si>
    <t xml:space="preserve">Good liquidity shown by last trade</t>
  </si>
  <si>
    <t xml:space="preserve">6.70</t>
  </si>
  <si>
    <t xml:space="preserve">5.89</t>
  </si>
  <si>
    <t xml:space="preserve">KRE DEC 31, 2026 PUTS — OPTIONS CHAIN SNAPSHOT (9/25/2026 close, pulled 9/26)</t>
  </si>
  <si>
    <t xml:space="preserve">KRE price (input)</t>
  </si>
  <si>
    <t xml:space="preserve">As-of date</t>
  </si>
  <si>
    <t xml:space="preserve">Days to expiry</t>
  </si>
  <si>
    <t xml:space="preserve">Source: Nasdaq option chain (delayed; weekend quotes — bid/ask wide, LAST is the better mark)</t>
  </si>
  <si>
    <t xml:space="preserve">Bid</t>
  </si>
  <si>
    <t xml:space="preserve">Ask</t>
  </si>
  <si>
    <t xml:space="preserve">Last</t>
  </si>
  <si>
    <t xml:space="preserve">Open Int</t>
  </si>
  <si>
    <t xml:space="preserve">Feb Last</t>
  </si>
  <si>
    <t xml:space="preserve">Last vs Feb</t>
  </si>
  <si>
    <t xml:space="preserve">Strike vs KRE</t>
  </si>
  <si>
    <t xml:space="preserve">Value @ $60</t>
  </si>
  <si>
    <t xml:space="preserve">Value @ $50</t>
  </si>
  <si>
    <t xml:space="preserve">★ Feb PRIMARY strike</t>
  </si>
  <si>
    <t xml:space="preserve">Heaviest OI near the money with $60</t>
  </si>
  <si>
    <t xml:space="preserve">★ Feb ALTERNATIVE strike</t>
  </si>
  <si>
    <t xml:space="preserve">Blank bid = no bid posted. "Value @ $X" = intrinsic value at expiry if KRE closes at $X. "Feb Last" from the 2-15-26 tab (blank where Feb showed no trade).</t>
  </si>
  <si>
    <t xml:space="preserve">RISK FACTORS — WHAT COULD GO WRONG</t>
  </si>
  <si>
    <t xml:space="preserve">RISK</t>
  </si>
  <si>
    <t xml:space="preserve">DESCRIPTION</t>
  </si>
  <si>
    <t xml:space="preserve">MITIGATION</t>
  </si>
  <si>
    <t xml:space="preserve">DID IT HAPPEN? (9/26/2026)</t>
  </si>
  <si>
    <t xml:space="preserve">Fed Rate Cuts</t>
  </si>
  <si>
    <t xml:space="preserve">Aggressive rate cuts could ease CRE refinancing pressure and boost bank earnings</t>
  </si>
  <si>
    <t xml:space="preserve">Rate cuts help at the margin but won't fix 19%+ office vacancies or upside-down cap rates</t>
  </si>
  <si>
    <t xml:space="preserve">No — the Fed did not cut into a rate rally; long yields ROSE (10Y 5.17%). Not the reason the thesis stalled</t>
  </si>
  <si>
    <t xml:space="preserve">Extend &amp; Pretend Works Longer</t>
  </si>
  <si>
    <t xml:space="preserve">Banks continue modifying loans and kicking the can past Dec 2026</t>
  </si>
  <si>
    <t xml:space="preserve">Double defaults surging 90% YoY suggest this is already failing; new reporting rules help hide it temporarily</t>
  </si>
  <si>
    <t xml:space="preserve">YES, largely — bank-held CRE delinquency flat/down (FRED 1.53%); losses crystallizing in CMBS instead</t>
  </si>
  <si>
    <t xml:space="preserve">Gov't Intervention / Bailout</t>
  </si>
  <si>
    <t xml:space="preserve">FDIC or Treasury steps in to backstop regional banks proactively</t>
  </si>
  <si>
    <t xml:space="preserve">Possible but politically toxic post-SVB; would likely come AFTER a crisis, not before</t>
  </si>
  <si>
    <t xml:space="preserve">Indirectly YES — deregulation (Basel re-proposal, oversight thresholds) and M&amp;A support, no bailout needed</t>
  </si>
  <si>
    <t xml:space="preserve">KRE Rallies Before Dropping</t>
  </si>
  <si>
    <t xml:space="preserve">KRE could run to $75-80 before thesis plays out — puts lose value short-term</t>
  </si>
  <si>
    <t xml:space="preserve">Scale into position; don't put full size on day one; 319 days of runway</t>
  </si>
  <si>
    <t xml:space="preserve">YES — KRE ran to $77.93 (8/14) before fading to $71.55</t>
  </si>
  <si>
    <t xml:space="preserve">Theta Decay</t>
  </si>
  <si>
    <t xml:space="preserve">Time decay erodes put value if KRE trades sideways</t>
  </si>
  <si>
    <t xml:space="preserve">With 319 days, decay is negligible for months; thesis has multiple catalysts throughout 2026</t>
  </si>
  <si>
    <t xml:space="preserve">YES — 96 days left; $60 put −83% vs Feb last</t>
  </si>
  <si>
    <t xml:space="preserve">Wide Bid-Ask Spreads</t>
  </si>
  <si>
    <t xml:space="preserve">Illiquid options chain means poor fills</t>
  </si>
  <si>
    <t xml:space="preserve">Use GTC limit orders; be patient; buy on green KRE days</t>
  </si>
  <si>
    <t xml:space="preserve">YES — Sep bid/ask still very wide ($60: 0.04 / 0.70)</t>
  </si>
  <si>
    <t xml:space="preserve">Soft Landing Narrative</t>
  </si>
  <si>
    <t xml:space="preserve">Market decides CRE risk is 'manageable' and banks adapt</t>
  </si>
  <si>
    <t xml:space="preserve">Data says otherwise: delinquencies at records, double defaults surging, vacancies rising</t>
  </si>
  <si>
    <t xml:space="preserve">YES — market treats CRE as a CMBS/office problem; KRE flat YTD</t>
  </si>
  <si>
    <t xml:space="preserve">Inflation Surprise</t>
  </si>
  <si>
    <t xml:space="preserve">Higher inflation forces Fed to hold or raise rates — helps short thesis actually</t>
  </si>
  <si>
    <t xml:space="preserve">This is actually a risk to the UPSIDE for puts — higher rates = worse for CRE</t>
  </si>
  <si>
    <t xml:space="preserve">Partly — rates higher, but it did not break the banks</t>
  </si>
  <si>
    <t xml:space="preserve">Regulatory Forbearance</t>
  </si>
  <si>
    <t xml:space="preserve">Regulators quietly allow banks to delay recognizing losses indefinitely</t>
  </si>
  <si>
    <t xml:space="preserve">The new 1-year reporting rule is already a form of this — but charge-offs eventually surface</t>
  </si>
  <si>
    <t xml:space="preserve">Partly — gradual reserving; no forced charge-off wave in bank earnings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</si>
</sst>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0.00"/>
    <numFmt numFmtId="166" formatCode="m/d/yyyy"/>
    <numFmt numFmtId="167" formatCode="0"/>
    <numFmt numFmtId="168" formatCode="0%;\(0%\);\-"/>
    <numFmt numFmtId="169" formatCode="0.0%;\(0.0%\);\-"/>
    <numFmt numFmtId="170" formatCode="\$0.00;&quot;($&quot;0.0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color rgb="FFCC000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b val="true"/>
      <sz val="11"/>
      <color rgb="FF006600"/>
      <name val="Cambria"/>
      <family val="0"/>
      <charset val="1"/>
    </font>
    <font>
      <i val="true"/>
      <sz val="11"/>
      <name val="Cambria"/>
      <family val="0"/>
      <charset val="1"/>
    </font>
    <font>
      <sz val="10"/>
      <name val="Arial"/>
      <family val="2"/>
    </font>
    <font>
      <sz val="10"/>
      <color rgb="FFCC0000"/>
      <name val="Cambria"/>
      <family val="0"/>
      <charset val="1"/>
    </font>
    <font>
      <i val="true"/>
      <sz val="10"/>
      <color rgb="FFCC0000"/>
      <name val="Cambria"/>
      <family val="0"/>
      <charset val="1"/>
    </font>
    <font>
      <sz val="11"/>
      <color rgb="FFCC0000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0"/>
      <color rgb="FF006600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2EFDA"/>
        <bgColor rgb="FFD6E4F0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CC0000"/>
        <bgColor rgb="FF8B0000"/>
      </patternFill>
    </fill>
    <fill>
      <patternFill patternType="solid">
        <fgColor rgb="FF8B0000"/>
        <bgColor rgb="FF800000"/>
      </patternFill>
    </fill>
    <fill>
      <patternFill patternType="solid">
        <fgColor rgb="FF006600"/>
        <bgColor rgb="FF008080"/>
      </patternFill>
    </fill>
    <fill>
      <patternFill patternType="solid">
        <fgColor rgb="FFC6EFCE"/>
        <bgColor rgb="FFE2EFDA"/>
      </patternFill>
    </fill>
    <fill>
      <patternFill patternType="solid">
        <fgColor rgb="FFFF66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B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7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0</v>
      </c>
      <c r="B1" s="1"/>
      <c r="C1" s="1"/>
    </row>
    <row r="2" customFormat="false" ht="29.85" hidden="false" customHeight="true" outlineLevel="0" collapsed="false">
      <c r="A2" s="2" t="s">
        <v>1</v>
      </c>
      <c r="B2" s="2"/>
      <c r="C2" s="2"/>
    </row>
    <row r="4" customFormat="false" ht="17.3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/>
      <c r="C5" s="4"/>
    </row>
    <row r="6" customFormat="false" ht="15" hidden="false" customHeight="false" outlineLevel="0" collapsed="false">
      <c r="A6" s="5" t="s">
        <v>6</v>
      </c>
      <c r="B6" s="6" t="s">
        <v>7</v>
      </c>
      <c r="C6" s="7" t="s">
        <v>8</v>
      </c>
    </row>
    <row r="7" customFormat="false" ht="28.35" hidden="false" customHeight="false" outlineLevel="0" collapsed="false">
      <c r="A7" s="5" t="s">
        <v>9</v>
      </c>
      <c r="B7" s="8" t="s">
        <v>10</v>
      </c>
      <c r="C7" s="9" t="s">
        <v>11</v>
      </c>
    </row>
    <row r="8" customFormat="false" ht="28.35" hidden="false" customHeight="false" outlineLevel="0" collapsed="false">
      <c r="A8" s="5" t="s">
        <v>12</v>
      </c>
      <c r="B8" s="8" t="s">
        <v>13</v>
      </c>
      <c r="C8" s="7" t="s">
        <v>14</v>
      </c>
    </row>
    <row r="9" customFormat="false" ht="23.85" hidden="false" customHeight="false" outlineLevel="0" collapsed="false">
      <c r="A9" s="5" t="s">
        <v>15</v>
      </c>
      <c r="B9" s="8" t="s">
        <v>16</v>
      </c>
      <c r="C9" s="9" t="s">
        <v>17</v>
      </c>
    </row>
    <row r="10" customFormat="false" ht="23.85" hidden="false" customHeight="false" outlineLevel="0" collapsed="false">
      <c r="A10" s="5" t="s">
        <v>18</v>
      </c>
      <c r="B10" s="8" t="s">
        <v>19</v>
      </c>
      <c r="C10" s="9" t="s">
        <v>20</v>
      </c>
    </row>
    <row r="11" customFormat="false" ht="28.35" hidden="false" customHeight="false" outlineLevel="0" collapsed="false">
      <c r="A11" s="5" t="s">
        <v>21</v>
      </c>
      <c r="B11" s="8" t="s">
        <v>22</v>
      </c>
      <c r="C11" s="7" t="s">
        <v>23</v>
      </c>
    </row>
    <row r="12" customFormat="false" ht="23.85" hidden="false" customHeight="false" outlineLevel="0" collapsed="false">
      <c r="A12" s="5" t="s">
        <v>24</v>
      </c>
      <c r="B12" s="6" t="s">
        <v>25</v>
      </c>
      <c r="C12" s="9" t="s">
        <v>26</v>
      </c>
    </row>
    <row r="13" customFormat="false" ht="15" hidden="false" customHeight="false" outlineLevel="0" collapsed="false">
      <c r="A13" s="5" t="s">
        <v>27</v>
      </c>
      <c r="B13" s="6" t="s">
        <v>28</v>
      </c>
      <c r="C13" s="9" t="s">
        <v>29</v>
      </c>
    </row>
    <row r="14" customFormat="false" ht="15" hidden="false" customHeight="false" outlineLevel="0" collapsed="false">
      <c r="A14" s="5" t="s">
        <v>30</v>
      </c>
      <c r="B14" s="6" t="s">
        <v>31</v>
      </c>
      <c r="C14" s="9" t="s">
        <v>32</v>
      </c>
    </row>
    <row r="15" customFormat="false" ht="23.85" hidden="false" customHeight="false" outlineLevel="0" collapsed="false">
      <c r="A15" s="5" t="s">
        <v>33</v>
      </c>
      <c r="B15" s="6" t="s">
        <v>34</v>
      </c>
      <c r="C15" s="9" t="s">
        <v>35</v>
      </c>
    </row>
    <row r="16" customFormat="false" ht="15" hidden="false" customHeight="false" outlineLevel="0" collapsed="false">
      <c r="A16" s="5" t="s">
        <v>36</v>
      </c>
      <c r="B16" s="6" t="s">
        <v>37</v>
      </c>
      <c r="C16" s="7" t="s">
        <v>38</v>
      </c>
    </row>
    <row r="17" customFormat="false" ht="23.85" hidden="false" customHeight="false" outlineLevel="0" collapsed="false">
      <c r="A17" s="5" t="s">
        <v>39</v>
      </c>
      <c r="B17" s="6" t="s">
        <v>40</v>
      </c>
      <c r="C17" s="9" t="s">
        <v>41</v>
      </c>
    </row>
    <row r="18" customFormat="false" ht="15" hidden="false" customHeight="false" outlineLevel="0" collapsed="false">
      <c r="A18" s="5" t="s">
        <v>42</v>
      </c>
      <c r="B18" s="6" t="s">
        <v>43</v>
      </c>
      <c r="C18" s="7"/>
    </row>
    <row r="20" customFormat="false" ht="15" hidden="false" customHeight="false" outlineLevel="0" collapsed="false">
      <c r="A20" s="4" t="s">
        <v>44</v>
      </c>
      <c r="B20" s="4"/>
      <c r="C20" s="4"/>
    </row>
    <row r="21" customFormat="false" ht="15" hidden="false" customHeight="false" outlineLevel="0" collapsed="false">
      <c r="A21" s="5" t="s">
        <v>45</v>
      </c>
      <c r="B21" s="6" t="s">
        <v>46</v>
      </c>
      <c r="C21" s="7"/>
    </row>
    <row r="22" customFormat="false" ht="28.35" hidden="false" customHeight="false" outlineLevel="0" collapsed="false">
      <c r="A22" s="5" t="s">
        <v>47</v>
      </c>
      <c r="B22" s="8" t="s">
        <v>48</v>
      </c>
      <c r="C22" s="9" t="s">
        <v>49</v>
      </c>
    </row>
    <row r="23" customFormat="false" ht="28.35" hidden="false" customHeight="false" outlineLevel="0" collapsed="false">
      <c r="A23" s="5" t="s">
        <v>50</v>
      </c>
      <c r="B23" s="8" t="s">
        <v>51</v>
      </c>
      <c r="C23" s="9" t="s">
        <v>52</v>
      </c>
    </row>
    <row r="24" customFormat="false" ht="28.35" hidden="false" customHeight="false" outlineLevel="0" collapsed="false">
      <c r="A24" s="5" t="s">
        <v>53</v>
      </c>
      <c r="B24" s="8" t="s">
        <v>54</v>
      </c>
      <c r="C24" s="9" t="s">
        <v>55</v>
      </c>
    </row>
    <row r="25" customFormat="false" ht="28.35" hidden="false" customHeight="false" outlineLevel="0" collapsed="false">
      <c r="A25" s="5" t="s">
        <v>56</v>
      </c>
      <c r="B25" s="8" t="s">
        <v>57</v>
      </c>
      <c r="C25" s="9" t="s">
        <v>58</v>
      </c>
    </row>
    <row r="26" customFormat="false" ht="28.35" hidden="false" customHeight="false" outlineLevel="0" collapsed="false">
      <c r="A26" s="5" t="s">
        <v>59</v>
      </c>
      <c r="B26" s="8" t="s">
        <v>60</v>
      </c>
      <c r="C26" s="9" t="s">
        <v>61</v>
      </c>
    </row>
    <row r="27" customFormat="false" ht="15" hidden="false" customHeight="false" outlineLevel="0" collapsed="false">
      <c r="A27" s="5" t="s">
        <v>62</v>
      </c>
      <c r="B27" s="6" t="s">
        <v>63</v>
      </c>
      <c r="C27" s="7" t="s">
        <v>64</v>
      </c>
    </row>
    <row r="28" customFormat="false" ht="23.85" hidden="false" customHeight="false" outlineLevel="0" collapsed="false">
      <c r="A28" s="5" t="s">
        <v>65</v>
      </c>
      <c r="B28" s="6" t="s">
        <v>66</v>
      </c>
      <c r="C28" s="9" t="s">
        <v>67</v>
      </c>
    </row>
    <row r="29" customFormat="false" ht="15" hidden="false" customHeight="false" outlineLevel="0" collapsed="false">
      <c r="A29" s="5" t="s">
        <v>68</v>
      </c>
      <c r="B29" s="6" t="s">
        <v>69</v>
      </c>
      <c r="C29" s="9" t="s">
        <v>70</v>
      </c>
    </row>
    <row r="30" customFormat="false" ht="23.85" hidden="false" customHeight="false" outlineLevel="0" collapsed="false">
      <c r="A30" s="5" t="s">
        <v>71</v>
      </c>
      <c r="B30" s="6" t="s">
        <v>72</v>
      </c>
      <c r="C30" s="9" t="s">
        <v>73</v>
      </c>
    </row>
    <row r="32" customFormat="false" ht="28.35" hidden="false" customHeight="false" outlineLevel="0" collapsed="false">
      <c r="A32" s="10" t="s">
        <v>74</v>
      </c>
      <c r="B32" s="11"/>
      <c r="C32" s="11"/>
    </row>
    <row r="33" customFormat="false" ht="41.75" hidden="false" customHeight="false" outlineLevel="0" collapsed="false">
      <c r="A33" s="12" t="s">
        <v>75</v>
      </c>
      <c r="B33" s="13" t="s">
        <v>76</v>
      </c>
      <c r="C33" s="13" t="s">
        <v>77</v>
      </c>
    </row>
    <row r="34" customFormat="false" ht="28.35" hidden="false" customHeight="false" outlineLevel="0" collapsed="false">
      <c r="A34" s="12" t="s">
        <v>78</v>
      </c>
      <c r="B34" s="13" t="s">
        <v>79</v>
      </c>
      <c r="C34" s="13" t="s">
        <v>80</v>
      </c>
    </row>
    <row r="35" customFormat="false" ht="28.35" hidden="false" customHeight="false" outlineLevel="0" collapsed="false">
      <c r="A35" s="12" t="s">
        <v>81</v>
      </c>
      <c r="B35" s="13" t="s">
        <v>82</v>
      </c>
      <c r="C35" s="13" t="s">
        <v>83</v>
      </c>
    </row>
    <row r="36" customFormat="false" ht="28.35" hidden="false" customHeight="false" outlineLevel="0" collapsed="false">
      <c r="A36" s="12" t="s">
        <v>84</v>
      </c>
      <c r="B36" s="13" t="s">
        <v>85</v>
      </c>
      <c r="C36" s="13" t="s">
        <v>86</v>
      </c>
    </row>
    <row r="37" customFormat="false" ht="28.35" hidden="false" customHeight="false" outlineLevel="0" collapsed="false">
      <c r="A37" s="12" t="s">
        <v>87</v>
      </c>
      <c r="B37" s="13" t="s">
        <v>88</v>
      </c>
      <c r="C37" s="13" t="s">
        <v>89</v>
      </c>
    </row>
    <row r="38" customFormat="false" ht="41.75" hidden="false" customHeight="false" outlineLevel="0" collapsed="false">
      <c r="A38" s="12" t="s">
        <v>90</v>
      </c>
      <c r="B38" s="13" t="s">
        <v>91</v>
      </c>
      <c r="C38" s="13" t="s">
        <v>92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4" t="s">
        <v>93</v>
      </c>
      <c r="B1" s="14"/>
      <c r="C1" s="14"/>
      <c r="D1" s="14"/>
      <c r="E1" s="14"/>
    </row>
    <row r="2" customFormat="false" ht="31.5" hidden="false" customHeight="true" outlineLevel="0" collapsed="false">
      <c r="A2" s="15" t="s">
        <v>94</v>
      </c>
      <c r="B2" s="15"/>
      <c r="C2" s="15"/>
      <c r="D2" s="15"/>
      <c r="E2" s="15"/>
    </row>
    <row r="4" customFormat="false" ht="15" hidden="false" customHeight="false" outlineLevel="0" collapsed="false">
      <c r="A4" s="16" t="s">
        <v>95</v>
      </c>
      <c r="B4" s="16" t="s">
        <v>96</v>
      </c>
      <c r="C4" s="16" t="s">
        <v>97</v>
      </c>
      <c r="D4" s="16" t="s">
        <v>98</v>
      </c>
      <c r="E4" s="16" t="s">
        <v>99</v>
      </c>
    </row>
    <row r="5" customFormat="false" ht="28.35" hidden="false" customHeight="false" outlineLevel="0" collapsed="false">
      <c r="A5" s="17" t="s">
        <v>100</v>
      </c>
      <c r="B5" s="18" t="s">
        <v>101</v>
      </c>
      <c r="C5" s="18" t="s">
        <v>102</v>
      </c>
      <c r="D5" s="19" t="s">
        <v>103</v>
      </c>
      <c r="E5" s="18" t="s">
        <v>104</v>
      </c>
    </row>
    <row r="6" customFormat="false" ht="15" hidden="false" customHeight="false" outlineLevel="0" collapsed="false">
      <c r="A6" s="17" t="s">
        <v>105</v>
      </c>
      <c r="B6" s="18" t="s">
        <v>106</v>
      </c>
      <c r="C6" s="18" t="s">
        <v>107</v>
      </c>
      <c r="D6" s="19" t="s">
        <v>108</v>
      </c>
      <c r="E6" s="18" t="s">
        <v>109</v>
      </c>
    </row>
    <row r="7" customFormat="false" ht="28.35" hidden="false" customHeight="false" outlineLevel="0" collapsed="false">
      <c r="A7" s="17" t="s">
        <v>110</v>
      </c>
      <c r="B7" s="18" t="s">
        <v>111</v>
      </c>
      <c r="C7" s="18" t="s">
        <v>112</v>
      </c>
      <c r="D7" s="20" t="s">
        <v>113</v>
      </c>
      <c r="E7" s="18" t="s">
        <v>114</v>
      </c>
    </row>
    <row r="8" customFormat="false" ht="15" hidden="false" customHeight="false" outlineLevel="0" collapsed="false">
      <c r="A8" s="17" t="s">
        <v>115</v>
      </c>
      <c r="B8" s="18" t="s">
        <v>116</v>
      </c>
      <c r="C8" s="18" t="s">
        <v>117</v>
      </c>
      <c r="D8" s="20" t="s">
        <v>118</v>
      </c>
      <c r="E8" s="18" t="s">
        <v>119</v>
      </c>
    </row>
    <row r="9" customFormat="false" ht="15" hidden="false" customHeight="false" outlineLevel="0" collapsed="false">
      <c r="A9" s="17" t="s">
        <v>120</v>
      </c>
      <c r="B9" s="18" t="s">
        <v>121</v>
      </c>
      <c r="C9" s="18" t="s">
        <v>122</v>
      </c>
      <c r="D9" s="21" t="s">
        <v>123</v>
      </c>
      <c r="E9" s="18" t="s">
        <v>124</v>
      </c>
    </row>
    <row r="10" customFormat="false" ht="28.35" hidden="false" customHeight="false" outlineLevel="0" collapsed="false">
      <c r="A10" s="17" t="s">
        <v>125</v>
      </c>
      <c r="B10" s="18" t="s">
        <v>126</v>
      </c>
      <c r="C10" s="18" t="s">
        <v>127</v>
      </c>
      <c r="D10" s="19" t="s">
        <v>108</v>
      </c>
      <c r="E10" s="18" t="s">
        <v>128</v>
      </c>
    </row>
    <row r="11" customFormat="false" ht="28.35" hidden="false" customHeight="false" outlineLevel="0" collapsed="false">
      <c r="A11" s="17" t="s">
        <v>129</v>
      </c>
      <c r="B11" s="18" t="s">
        <v>130</v>
      </c>
      <c r="C11" s="18" t="s">
        <v>131</v>
      </c>
      <c r="D11" s="20" t="s">
        <v>132</v>
      </c>
      <c r="E11" s="18" t="s">
        <v>133</v>
      </c>
    </row>
    <row r="12" customFormat="false" ht="15" hidden="false" customHeight="false" outlineLevel="0" collapsed="false">
      <c r="A12" s="17" t="s">
        <v>134</v>
      </c>
      <c r="B12" s="18" t="s">
        <v>135</v>
      </c>
      <c r="C12" s="18" t="s">
        <v>136</v>
      </c>
      <c r="D12" s="20" t="s">
        <v>118</v>
      </c>
      <c r="E12" s="18" t="s">
        <v>137</v>
      </c>
    </row>
    <row r="13" customFormat="false" ht="15" hidden="false" customHeight="false" outlineLevel="0" collapsed="false">
      <c r="A13" s="17" t="s">
        <v>138</v>
      </c>
      <c r="B13" s="18" t="s">
        <v>139</v>
      </c>
      <c r="C13" s="18" t="s">
        <v>140</v>
      </c>
      <c r="D13" s="19" t="s">
        <v>141</v>
      </c>
      <c r="E13" s="18" t="s">
        <v>137</v>
      </c>
    </row>
    <row r="15" customFormat="false" ht="48" hidden="false" customHeight="true" outlineLevel="0" collapsed="false">
      <c r="A15" s="22" t="s">
        <v>142</v>
      </c>
      <c r="B15" s="23" t="s">
        <v>143</v>
      </c>
      <c r="C15" s="23"/>
      <c r="D15" s="23"/>
      <c r="E15" s="23"/>
    </row>
    <row r="16" customFormat="false" ht="48" hidden="false" customHeight="true" outlineLevel="0" collapsed="false">
      <c r="A16" s="22" t="s">
        <v>144</v>
      </c>
      <c r="B16" s="23" t="s">
        <v>145</v>
      </c>
      <c r="C16" s="23"/>
      <c r="D16" s="23"/>
      <c r="E16" s="23"/>
    </row>
    <row r="18" customFormat="false" ht="55.2" hidden="false" customHeight="false" outlineLevel="0" collapsed="false">
      <c r="A18" s="24" t="s">
        <v>146</v>
      </c>
      <c r="B18" s="18"/>
      <c r="C18" s="18"/>
      <c r="D18" s="18"/>
      <c r="E18" s="18"/>
    </row>
  </sheetData>
  <mergeCells count="4">
    <mergeCell ref="A1:E1"/>
    <mergeCell ref="A2:E2"/>
    <mergeCell ref="B15:E15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25" t="s">
        <v>147</v>
      </c>
      <c r="B1" s="25"/>
      <c r="C1" s="25"/>
      <c r="D1" s="25"/>
      <c r="E1" s="25"/>
      <c r="F1" s="25"/>
      <c r="G1" s="25"/>
    </row>
    <row r="3" customFormat="false" ht="17.35" hidden="false" customHeight="false" outlineLevel="0" collapsed="false">
      <c r="A3" s="26" t="s">
        <v>148</v>
      </c>
      <c r="B3" s="26" t="s">
        <v>149</v>
      </c>
      <c r="C3" s="26" t="s">
        <v>150</v>
      </c>
      <c r="D3" s="26" t="s">
        <v>151</v>
      </c>
      <c r="E3" s="26" t="s">
        <v>152</v>
      </c>
      <c r="F3" s="26" t="s">
        <v>153</v>
      </c>
      <c r="G3" s="26" t="s">
        <v>154</v>
      </c>
    </row>
    <row r="4" customFormat="false" ht="15" hidden="false" customHeight="false" outlineLevel="0" collapsed="false">
      <c r="A4" s="6" t="s">
        <v>155</v>
      </c>
      <c r="B4" s="6" t="s">
        <v>156</v>
      </c>
      <c r="C4" s="6" t="s">
        <v>157</v>
      </c>
      <c r="D4" s="6" t="s">
        <v>157</v>
      </c>
      <c r="E4" s="6" t="s">
        <v>157</v>
      </c>
      <c r="F4" s="6" t="s">
        <v>157</v>
      </c>
      <c r="G4" s="6" t="s">
        <v>157</v>
      </c>
    </row>
    <row r="5" customFormat="false" ht="15" hidden="false" customHeight="false" outlineLevel="0" collapsed="false">
      <c r="A5" s="6" t="s">
        <v>158</v>
      </c>
      <c r="B5" s="6" t="s">
        <v>159</v>
      </c>
      <c r="C5" s="6" t="s">
        <v>160</v>
      </c>
      <c r="D5" s="6" t="s">
        <v>157</v>
      </c>
      <c r="E5" s="6" t="s">
        <v>157</v>
      </c>
      <c r="F5" s="6" t="s">
        <v>157</v>
      </c>
      <c r="G5" s="6" t="s">
        <v>157</v>
      </c>
    </row>
    <row r="6" customFormat="false" ht="15" hidden="false" customHeight="false" outlineLevel="0" collapsed="false">
      <c r="A6" s="6" t="s">
        <v>161</v>
      </c>
      <c r="B6" s="6" t="s">
        <v>162</v>
      </c>
      <c r="C6" s="6" t="s">
        <v>157</v>
      </c>
      <c r="D6" s="6" t="s">
        <v>157</v>
      </c>
      <c r="E6" s="6" t="s">
        <v>163</v>
      </c>
      <c r="F6" s="6" t="s">
        <v>157</v>
      </c>
      <c r="G6" s="6" t="s">
        <v>157</v>
      </c>
    </row>
    <row r="7" customFormat="false" ht="15" hidden="false" customHeight="false" outlineLevel="0" collapsed="false">
      <c r="A7" s="6" t="s">
        <v>164</v>
      </c>
      <c r="B7" s="6" t="s">
        <v>165</v>
      </c>
      <c r="C7" s="6" t="s">
        <v>157</v>
      </c>
      <c r="D7" s="6" t="s">
        <v>157</v>
      </c>
      <c r="E7" s="6" t="s">
        <v>157</v>
      </c>
      <c r="F7" s="6" t="s">
        <v>157</v>
      </c>
      <c r="G7" s="6" t="s">
        <v>157</v>
      </c>
    </row>
    <row r="8" customFormat="false" ht="15" hidden="false" customHeight="false" outlineLevel="0" collapsed="false">
      <c r="A8" s="6" t="s">
        <v>166</v>
      </c>
      <c r="B8" s="6" t="s">
        <v>167</v>
      </c>
      <c r="C8" s="6" t="s">
        <v>157</v>
      </c>
      <c r="D8" s="6" t="s">
        <v>157</v>
      </c>
      <c r="E8" s="6" t="s">
        <v>157</v>
      </c>
      <c r="F8" s="6" t="s">
        <v>157</v>
      </c>
      <c r="G8" s="6" t="s">
        <v>157</v>
      </c>
    </row>
    <row r="9" customFormat="false" ht="15" hidden="false" customHeight="false" outlineLevel="0" collapsed="false">
      <c r="A9" s="6" t="s">
        <v>168</v>
      </c>
      <c r="B9" s="6" t="s">
        <v>169</v>
      </c>
      <c r="C9" s="6" t="s">
        <v>170</v>
      </c>
      <c r="D9" s="6" t="s">
        <v>171</v>
      </c>
      <c r="E9" s="6" t="s">
        <v>172</v>
      </c>
      <c r="F9" s="6" t="s">
        <v>173</v>
      </c>
      <c r="G9" s="6" t="s">
        <v>174</v>
      </c>
    </row>
    <row r="10" customFormat="false" ht="15" hidden="false" customHeight="false" outlineLevel="0" collapsed="false">
      <c r="A10" s="6" t="s">
        <v>175</v>
      </c>
      <c r="B10" s="6" t="s">
        <v>176</v>
      </c>
      <c r="C10" s="27" t="s">
        <v>177</v>
      </c>
      <c r="D10" s="6" t="s">
        <v>171</v>
      </c>
      <c r="E10" s="6" t="s">
        <v>172</v>
      </c>
      <c r="F10" s="6" t="s">
        <v>173</v>
      </c>
      <c r="G10" s="6" t="s">
        <v>174</v>
      </c>
    </row>
    <row r="11" customFormat="false" ht="15" hidden="false" customHeight="false" outlineLevel="0" collapsed="false">
      <c r="A11" s="13" t="s">
        <v>178</v>
      </c>
      <c r="B11" s="13" t="s">
        <v>179</v>
      </c>
      <c r="C11" s="13" t="s">
        <v>180</v>
      </c>
      <c r="D11" s="13" t="s">
        <v>157</v>
      </c>
      <c r="E11" s="13" t="s">
        <v>157</v>
      </c>
      <c r="F11" s="13" t="s">
        <v>157</v>
      </c>
      <c r="G11" s="13" t="s">
        <v>157</v>
      </c>
    </row>
    <row r="12" customFormat="false" ht="15" hidden="false" customHeight="false" outlineLevel="0" collapsed="false">
      <c r="A12" s="13" t="s">
        <v>181</v>
      </c>
      <c r="B12" s="13" t="s">
        <v>182</v>
      </c>
      <c r="C12" s="13" t="s">
        <v>183</v>
      </c>
      <c r="D12" s="13" t="s">
        <v>157</v>
      </c>
      <c r="E12" s="13" t="s">
        <v>157</v>
      </c>
      <c r="F12" s="13" t="s">
        <v>157</v>
      </c>
      <c r="G12" s="13" t="s">
        <v>157</v>
      </c>
    </row>
    <row r="13" customFormat="false" ht="15" hidden="false" customHeight="false" outlineLevel="0" collapsed="false">
      <c r="A13" s="13" t="s">
        <v>184</v>
      </c>
      <c r="B13" s="13" t="s">
        <v>185</v>
      </c>
      <c r="C13" s="13" t="s">
        <v>186</v>
      </c>
      <c r="D13" s="13" t="s">
        <v>157</v>
      </c>
      <c r="E13" s="13" t="s">
        <v>157</v>
      </c>
      <c r="F13" s="13" t="s">
        <v>157</v>
      </c>
      <c r="G13" s="13" t="s">
        <v>157</v>
      </c>
    </row>
    <row r="14" customFormat="false" ht="15" hidden="false" customHeight="false" outlineLevel="0" collapsed="false">
      <c r="A14" s="13" t="s">
        <v>187</v>
      </c>
      <c r="B14" s="13" t="s">
        <v>182</v>
      </c>
      <c r="C14" s="13" t="s">
        <v>188</v>
      </c>
      <c r="D14" s="13" t="s">
        <v>157</v>
      </c>
      <c r="E14" s="13" t="s">
        <v>157</v>
      </c>
      <c r="F14" s="13" t="s">
        <v>157</v>
      </c>
      <c r="G14" s="13" t="s">
        <v>157</v>
      </c>
    </row>
    <row r="15" customFormat="false" ht="15" hidden="false" customHeight="false" outlineLevel="0" collapsed="false">
      <c r="A15" s="13" t="s">
        <v>189</v>
      </c>
      <c r="B15" s="13" t="s">
        <v>190</v>
      </c>
      <c r="C15" s="13" t="s">
        <v>191</v>
      </c>
      <c r="D15" s="13" t="s">
        <v>157</v>
      </c>
      <c r="E15" s="13" t="s">
        <v>157</v>
      </c>
      <c r="F15" s="13" t="s">
        <v>157</v>
      </c>
      <c r="G15" s="13" t="s">
        <v>157</v>
      </c>
    </row>
    <row r="16" customFormat="false" ht="15" hidden="false" customHeight="false" outlineLevel="0" collapsed="false">
      <c r="A16" s="13" t="s">
        <v>192</v>
      </c>
      <c r="B16" s="13" t="s">
        <v>193</v>
      </c>
      <c r="C16" s="13" t="s">
        <v>194</v>
      </c>
      <c r="D16" s="13" t="s">
        <v>195</v>
      </c>
      <c r="E16" s="13" t="s">
        <v>196</v>
      </c>
      <c r="F16" s="13" t="s">
        <v>197</v>
      </c>
      <c r="G16" s="13" t="s">
        <v>198</v>
      </c>
    </row>
    <row r="17" customFormat="false" ht="15" hidden="false" customHeight="false" outlineLevel="0" collapsed="false">
      <c r="A17" s="13" t="s">
        <v>199</v>
      </c>
      <c r="B17" s="13" t="s">
        <v>200</v>
      </c>
      <c r="C17" s="13" t="s">
        <v>201</v>
      </c>
      <c r="D17" s="13" t="s">
        <v>195</v>
      </c>
      <c r="E17" s="13" t="s">
        <v>202</v>
      </c>
      <c r="F17" s="13" t="s">
        <v>202</v>
      </c>
      <c r="G17" s="13" t="s">
        <v>202</v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</row>
    <row r="19" customFormat="false" ht="55.2" hidden="false" customHeight="false" outlineLevel="0" collapsed="false">
      <c r="A19" s="28" t="s">
        <v>203</v>
      </c>
      <c r="B19" s="12" t="s">
        <v>204</v>
      </c>
      <c r="C19" s="12" t="s">
        <v>205</v>
      </c>
      <c r="D19" s="12" t="s">
        <v>206</v>
      </c>
      <c r="E19" s="12" t="s">
        <v>207</v>
      </c>
      <c r="F19" s="12" t="s">
        <v>208</v>
      </c>
      <c r="G19" s="12" t="s">
        <v>209</v>
      </c>
    </row>
    <row r="20" customFormat="false" ht="15" hidden="false" customHeight="false" outlineLevel="0" collapsed="false">
      <c r="A20" s="28" t="s">
        <v>210</v>
      </c>
      <c r="B20" s="28" t="s">
        <v>211</v>
      </c>
      <c r="C20" s="28" t="s">
        <v>212</v>
      </c>
      <c r="D20" s="28" t="s">
        <v>157</v>
      </c>
      <c r="E20" s="28" t="s">
        <v>157</v>
      </c>
      <c r="F20" s="28" t="s">
        <v>157</v>
      </c>
      <c r="G20" s="28" t="s">
        <v>157</v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</row>
    <row r="22" customFormat="false" ht="41.75" hidden="false" customHeight="false" outlineLevel="0" collapsed="false">
      <c r="A22" s="28" t="s">
        <v>213</v>
      </c>
      <c r="B22" s="12" t="s">
        <v>214</v>
      </c>
      <c r="C22" s="12" t="s">
        <v>215</v>
      </c>
      <c r="D22" s="12" t="s">
        <v>216</v>
      </c>
      <c r="E22" s="28"/>
      <c r="F22" s="28"/>
      <c r="G22" s="28"/>
    </row>
    <row r="23" customFormat="false" ht="82.05" hidden="false" customHeight="false" outlineLevel="0" collapsed="false">
      <c r="A23" s="6" t="s">
        <v>217</v>
      </c>
      <c r="B23" s="8" t="s">
        <v>218</v>
      </c>
      <c r="C23" s="8" t="s">
        <v>219</v>
      </c>
      <c r="D23" s="6"/>
      <c r="E23" s="6"/>
      <c r="F23" s="6"/>
      <c r="G23" s="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65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25" t="s">
        <v>220</v>
      </c>
      <c r="B1" s="25"/>
      <c r="C1" s="25"/>
    </row>
    <row r="2" customFormat="false" ht="15" hidden="false" customHeight="true" outlineLevel="0" collapsed="false">
      <c r="A2" s="29" t="s">
        <v>221</v>
      </c>
      <c r="B2" s="29"/>
      <c r="C2" s="29"/>
    </row>
    <row r="4" customFormat="false" ht="17.35" hidden="false" customHeight="false" outlineLevel="0" collapsed="false">
      <c r="A4" s="3" t="s">
        <v>222</v>
      </c>
      <c r="B4" s="3" t="s">
        <v>3</v>
      </c>
      <c r="C4" s="3" t="s">
        <v>223</v>
      </c>
    </row>
    <row r="5" customFormat="false" ht="28.35" hidden="false" customHeight="false" outlineLevel="0" collapsed="false">
      <c r="A5" s="5" t="s">
        <v>224</v>
      </c>
      <c r="B5" s="8" t="s">
        <v>225</v>
      </c>
      <c r="C5" s="30" t="s">
        <v>226</v>
      </c>
    </row>
    <row r="6" customFormat="false" ht="23.85" hidden="false" customHeight="false" outlineLevel="0" collapsed="false">
      <c r="A6" s="5" t="s">
        <v>227</v>
      </c>
      <c r="B6" s="8" t="s">
        <v>228</v>
      </c>
      <c r="C6" s="30" t="s">
        <v>229</v>
      </c>
    </row>
    <row r="7" customFormat="false" ht="15" hidden="false" customHeight="false" outlineLevel="0" collapsed="false">
      <c r="A7" s="5" t="s">
        <v>230</v>
      </c>
      <c r="B7" s="6" t="s">
        <v>231</v>
      </c>
      <c r="C7" s="31" t="s">
        <v>232</v>
      </c>
    </row>
    <row r="8" customFormat="false" ht="15" hidden="false" customHeight="false" outlineLevel="0" collapsed="false">
      <c r="A8" s="5" t="s">
        <v>233</v>
      </c>
      <c r="B8" s="6" t="s">
        <v>234</v>
      </c>
      <c r="C8" s="31" t="s">
        <v>235</v>
      </c>
    </row>
    <row r="9" customFormat="false" ht="15" hidden="false" customHeight="false" outlineLevel="0" collapsed="false">
      <c r="A9" s="5" t="s">
        <v>236</v>
      </c>
      <c r="B9" s="6" t="s">
        <v>237</v>
      </c>
      <c r="C9" s="31" t="s">
        <v>238</v>
      </c>
    </row>
    <row r="10" customFormat="false" ht="15" hidden="false" customHeight="false" outlineLevel="0" collapsed="false">
      <c r="A10" s="5" t="s">
        <v>239</v>
      </c>
      <c r="B10" s="6" t="s">
        <v>240</v>
      </c>
      <c r="C10" s="31" t="s">
        <v>241</v>
      </c>
    </row>
    <row r="11" customFormat="false" ht="23.85" hidden="false" customHeight="false" outlineLevel="0" collapsed="false">
      <c r="A11" s="5" t="s">
        <v>242</v>
      </c>
      <c r="B11" s="8" t="s">
        <v>243</v>
      </c>
      <c r="C11" s="30" t="s">
        <v>244</v>
      </c>
    </row>
    <row r="12" customFormat="false" ht="15" hidden="false" customHeight="false" outlineLevel="0" collapsed="false">
      <c r="A12" s="5" t="s">
        <v>245</v>
      </c>
      <c r="B12" s="6" t="s">
        <v>246</v>
      </c>
      <c r="C12" s="31" t="s">
        <v>247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65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32" t="s">
        <v>248</v>
      </c>
      <c r="B1" s="32"/>
      <c r="C1" s="32"/>
    </row>
    <row r="3" customFormat="false" ht="17.35" hidden="false" customHeight="false" outlineLevel="0" collapsed="false">
      <c r="A3" s="3" t="s">
        <v>222</v>
      </c>
      <c r="B3" s="3" t="s">
        <v>3</v>
      </c>
      <c r="C3" s="3" t="s">
        <v>249</v>
      </c>
    </row>
    <row r="4" customFormat="false" ht="35.05" hidden="false" customHeight="false" outlineLevel="0" collapsed="false">
      <c r="A4" s="5" t="s">
        <v>250</v>
      </c>
      <c r="B4" s="8" t="s">
        <v>251</v>
      </c>
      <c r="C4" s="30" t="s">
        <v>252</v>
      </c>
    </row>
    <row r="5" customFormat="false" ht="15" hidden="false" customHeight="false" outlineLevel="0" collapsed="false">
      <c r="A5" s="5" t="s">
        <v>253</v>
      </c>
      <c r="B5" s="8" t="s">
        <v>254</v>
      </c>
      <c r="C5" s="31" t="s">
        <v>255</v>
      </c>
    </row>
    <row r="6" customFormat="false" ht="15" hidden="false" customHeight="false" outlineLevel="0" collapsed="false">
      <c r="A6" s="5" t="s">
        <v>256</v>
      </c>
      <c r="B6" s="6" t="s">
        <v>257</v>
      </c>
      <c r="C6" s="31" t="s">
        <v>258</v>
      </c>
    </row>
    <row r="7" customFormat="false" ht="15" hidden="false" customHeight="false" outlineLevel="0" collapsed="false">
      <c r="A7" s="5" t="s">
        <v>259</v>
      </c>
      <c r="B7" s="6" t="s">
        <v>260</v>
      </c>
      <c r="C7" s="31" t="s">
        <v>261</v>
      </c>
    </row>
    <row r="8" customFormat="false" ht="15" hidden="false" customHeight="false" outlineLevel="0" collapsed="false">
      <c r="A8" s="5" t="s">
        <v>262</v>
      </c>
      <c r="B8" s="6" t="s">
        <v>263</v>
      </c>
      <c r="C8" s="31" t="s">
        <v>264</v>
      </c>
    </row>
    <row r="9" customFormat="false" ht="35.05" hidden="false" customHeight="false" outlineLevel="0" collapsed="false">
      <c r="A9" s="5" t="s">
        <v>265</v>
      </c>
      <c r="B9" s="8" t="s">
        <v>266</v>
      </c>
      <c r="C9" s="30" t="s">
        <v>267</v>
      </c>
    </row>
    <row r="10" customFormat="false" ht="15" hidden="false" customHeight="false" outlineLevel="0" collapsed="false">
      <c r="A10" s="5" t="s">
        <v>268</v>
      </c>
      <c r="B10" s="6" t="s">
        <v>269</v>
      </c>
      <c r="C10" s="31" t="s">
        <v>270</v>
      </c>
    </row>
    <row r="11" customFormat="false" ht="15" hidden="false" customHeight="false" outlineLevel="0" collapsed="false">
      <c r="A11" s="5" t="s">
        <v>271</v>
      </c>
      <c r="B11" s="6" t="s">
        <v>272</v>
      </c>
      <c r="C11" s="31" t="s">
        <v>273</v>
      </c>
    </row>
    <row r="12" customFormat="false" ht="15" hidden="false" customHeight="false" outlineLevel="0" collapsed="false">
      <c r="A12" s="5" t="s">
        <v>274</v>
      </c>
      <c r="B12" s="6" t="s">
        <v>275</v>
      </c>
      <c r="C12" s="31" t="s">
        <v>276</v>
      </c>
    </row>
    <row r="13" customFormat="false" ht="41.75" hidden="false" customHeight="false" outlineLevel="0" collapsed="false">
      <c r="A13" s="12" t="s">
        <v>277</v>
      </c>
      <c r="B13" s="13" t="s">
        <v>278</v>
      </c>
      <c r="C13" s="33" t="s">
        <v>279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65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34" t="s">
        <v>280</v>
      </c>
      <c r="B1" s="34"/>
      <c r="C1" s="34"/>
    </row>
    <row r="3" customFormat="false" ht="17.35" hidden="false" customHeight="false" outlineLevel="0" collapsed="false">
      <c r="A3" s="3" t="s">
        <v>222</v>
      </c>
      <c r="B3" s="3" t="s">
        <v>3</v>
      </c>
      <c r="C3" s="3" t="s">
        <v>281</v>
      </c>
    </row>
    <row r="4" customFormat="false" ht="15" hidden="false" customHeight="false" outlineLevel="0" collapsed="false">
      <c r="A4" s="5" t="s">
        <v>282</v>
      </c>
      <c r="B4" s="8" t="s">
        <v>283</v>
      </c>
      <c r="C4" s="9" t="s">
        <v>284</v>
      </c>
    </row>
    <row r="5" customFormat="false" ht="15" hidden="false" customHeight="false" outlineLevel="0" collapsed="false">
      <c r="A5" s="5" t="s">
        <v>285</v>
      </c>
      <c r="B5" s="8" t="s">
        <v>286</v>
      </c>
      <c r="C5" s="7" t="s">
        <v>287</v>
      </c>
    </row>
    <row r="6" customFormat="false" ht="15" hidden="false" customHeight="false" outlineLevel="0" collapsed="false">
      <c r="A6" s="5" t="s">
        <v>288</v>
      </c>
      <c r="B6" s="6" t="s">
        <v>289</v>
      </c>
      <c r="C6" s="7" t="s">
        <v>290</v>
      </c>
    </row>
    <row r="7" customFormat="false" ht="15" hidden="false" customHeight="false" outlineLevel="0" collapsed="false">
      <c r="A7" s="5" t="s">
        <v>291</v>
      </c>
      <c r="B7" s="8" t="s">
        <v>292</v>
      </c>
      <c r="C7" s="9" t="s">
        <v>293</v>
      </c>
    </row>
    <row r="8" customFormat="false" ht="28.35" hidden="false" customHeight="false" outlineLevel="0" collapsed="false">
      <c r="A8" s="5" t="s">
        <v>294</v>
      </c>
      <c r="B8" s="8" t="s">
        <v>295</v>
      </c>
      <c r="C8" s="9" t="s">
        <v>296</v>
      </c>
    </row>
    <row r="9" customFormat="false" ht="15" hidden="false" customHeight="false" outlineLevel="0" collapsed="false">
      <c r="A9" s="5" t="s">
        <v>297</v>
      </c>
      <c r="B9" s="8" t="s">
        <v>298</v>
      </c>
      <c r="C9" s="9" t="s">
        <v>299</v>
      </c>
    </row>
    <row r="10" customFormat="false" ht="15" hidden="false" customHeight="false" outlineLevel="0" collapsed="false">
      <c r="A10" s="5" t="s">
        <v>300</v>
      </c>
      <c r="B10" s="6" t="s">
        <v>301</v>
      </c>
      <c r="C10" s="7"/>
    </row>
    <row r="11" customFormat="false" ht="15" hidden="false" customHeight="false" outlineLevel="0" collapsed="false">
      <c r="A11" s="5" t="s">
        <v>302</v>
      </c>
      <c r="B11" s="8" t="s">
        <v>303</v>
      </c>
      <c r="C11" s="9" t="s">
        <v>304</v>
      </c>
    </row>
    <row r="12" customFormat="false" ht="15" hidden="false" customHeight="false" outlineLevel="0" collapsed="false">
      <c r="A12" s="5" t="s">
        <v>305</v>
      </c>
      <c r="B12" s="6" t="s">
        <v>306</v>
      </c>
      <c r="C12" s="7" t="s">
        <v>307</v>
      </c>
    </row>
    <row r="14" customFormat="false" ht="15" hidden="false" customHeight="false" outlineLevel="0" collapsed="false">
      <c r="A14" s="4" t="s">
        <v>308</v>
      </c>
      <c r="B14" s="4"/>
      <c r="C14" s="4"/>
    </row>
    <row r="15" customFormat="false" ht="15" hidden="false" customHeight="false" outlineLevel="0" collapsed="false">
      <c r="A15" s="5" t="s">
        <v>309</v>
      </c>
      <c r="B15" s="6" t="s">
        <v>310</v>
      </c>
      <c r="C15" s="7" t="s">
        <v>311</v>
      </c>
    </row>
    <row r="16" customFormat="false" ht="15" hidden="false" customHeight="false" outlineLevel="0" collapsed="false">
      <c r="A16" s="5" t="s">
        <v>312</v>
      </c>
      <c r="B16" s="6" t="s">
        <v>313</v>
      </c>
      <c r="C16" s="7" t="s">
        <v>314</v>
      </c>
    </row>
    <row r="17" customFormat="false" ht="15" hidden="false" customHeight="false" outlineLevel="0" collapsed="false">
      <c r="A17" s="5" t="s">
        <v>315</v>
      </c>
      <c r="B17" s="8" t="s">
        <v>316</v>
      </c>
      <c r="C17" s="9" t="s">
        <v>317</v>
      </c>
    </row>
    <row r="18" customFormat="false" ht="15" hidden="false" customHeight="false" outlineLevel="0" collapsed="false">
      <c r="A18" s="5" t="s">
        <v>318</v>
      </c>
      <c r="B18" s="6" t="s">
        <v>319</v>
      </c>
      <c r="C18" s="7" t="s">
        <v>320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5"/>
    <col collapsed="false" customWidth="true" hidden="false" outlineLevel="0" max="3" min="3" style="0" width="55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35" t="s">
        <v>321</v>
      </c>
      <c r="B1" s="35"/>
      <c r="C1" s="35"/>
    </row>
    <row r="3" customFormat="false" ht="17.35" hidden="false" customHeight="false" outlineLevel="0" collapsed="false">
      <c r="A3" s="3" t="s">
        <v>322</v>
      </c>
      <c r="B3" s="3" t="s">
        <v>323</v>
      </c>
      <c r="C3" s="3" t="s">
        <v>324</v>
      </c>
      <c r="D3" s="16" t="s">
        <v>325</v>
      </c>
    </row>
    <row r="4" customFormat="false" ht="28.35" hidden="false" customHeight="false" outlineLevel="0" collapsed="false">
      <c r="A4" s="5" t="s">
        <v>326</v>
      </c>
      <c r="B4" s="6" t="s">
        <v>327</v>
      </c>
      <c r="C4" s="7" t="s">
        <v>328</v>
      </c>
      <c r="D4" s="13" t="s">
        <v>329</v>
      </c>
    </row>
    <row r="5" customFormat="false" ht="28.35" hidden="false" customHeight="false" outlineLevel="0" collapsed="false">
      <c r="A5" s="5" t="s">
        <v>330</v>
      </c>
      <c r="B5" s="6" t="s">
        <v>331</v>
      </c>
      <c r="C5" s="7" t="s">
        <v>332</v>
      </c>
      <c r="D5" s="13" t="s">
        <v>333</v>
      </c>
    </row>
    <row r="6" customFormat="false" ht="15" hidden="false" customHeight="false" outlineLevel="0" collapsed="false">
      <c r="A6" s="5" t="s">
        <v>334</v>
      </c>
      <c r="B6" s="6" t="s">
        <v>335</v>
      </c>
      <c r="C6" s="7" t="s">
        <v>336</v>
      </c>
      <c r="D6" s="13" t="s">
        <v>337</v>
      </c>
    </row>
    <row r="7" customFormat="false" ht="41.75" hidden="false" customHeight="false" outlineLevel="0" collapsed="false">
      <c r="A7" s="5" t="s">
        <v>338</v>
      </c>
      <c r="B7" s="6" t="s">
        <v>339</v>
      </c>
      <c r="C7" s="7" t="s">
        <v>340</v>
      </c>
      <c r="D7" s="13" t="s">
        <v>341</v>
      </c>
    </row>
    <row r="8" customFormat="false" ht="28.35" hidden="false" customHeight="false" outlineLevel="0" collapsed="false">
      <c r="A8" s="5" t="s">
        <v>338</v>
      </c>
      <c r="B8" s="6" t="s">
        <v>342</v>
      </c>
      <c r="C8" s="7" t="s">
        <v>343</v>
      </c>
      <c r="D8" s="36" t="s">
        <v>344</v>
      </c>
    </row>
    <row r="9" customFormat="false" ht="28.35" hidden="false" customHeight="false" outlineLevel="0" collapsed="false">
      <c r="A9" s="5" t="s">
        <v>345</v>
      </c>
      <c r="B9" s="6" t="s">
        <v>346</v>
      </c>
      <c r="C9" s="7" t="s">
        <v>347</v>
      </c>
      <c r="D9" s="36" t="s">
        <v>348</v>
      </c>
    </row>
    <row r="10" customFormat="false" ht="28.35" hidden="false" customHeight="false" outlineLevel="0" collapsed="false">
      <c r="A10" s="5" t="s">
        <v>349</v>
      </c>
      <c r="B10" s="6" t="s">
        <v>350</v>
      </c>
      <c r="C10" s="7" t="s">
        <v>351</v>
      </c>
      <c r="D10" s="13" t="s">
        <v>352</v>
      </c>
    </row>
    <row r="11" customFormat="false" ht="28.35" hidden="false" customHeight="false" outlineLevel="0" collapsed="false">
      <c r="A11" s="5" t="s">
        <v>353</v>
      </c>
      <c r="B11" s="6" t="s">
        <v>354</v>
      </c>
      <c r="C11" s="7" t="s">
        <v>355</v>
      </c>
      <c r="D11" s="13" t="s">
        <v>356</v>
      </c>
    </row>
    <row r="13" customFormat="false" ht="15" hidden="false" customHeight="false" outlineLevel="0" collapsed="false">
      <c r="A13" s="4" t="s">
        <v>357</v>
      </c>
      <c r="B13" s="4"/>
      <c r="C13" s="4"/>
    </row>
    <row r="14" customFormat="false" ht="28.35" hidden="false" customHeight="false" outlineLevel="0" collapsed="false">
      <c r="A14" s="5" t="s">
        <v>358</v>
      </c>
      <c r="B14" s="6" t="s">
        <v>359</v>
      </c>
      <c r="C14" s="7" t="s">
        <v>360</v>
      </c>
      <c r="D14" s="36" t="s">
        <v>361</v>
      </c>
    </row>
    <row r="15" customFormat="false" ht="15" hidden="false" customHeight="false" outlineLevel="0" collapsed="false">
      <c r="A15" s="5" t="s">
        <v>362</v>
      </c>
      <c r="B15" s="6" t="s">
        <v>363</v>
      </c>
      <c r="C15" s="7" t="s">
        <v>364</v>
      </c>
      <c r="D15" s="13" t="s">
        <v>365</v>
      </c>
    </row>
    <row r="16" customFormat="false" ht="15" hidden="false" customHeight="false" outlineLevel="0" collapsed="false">
      <c r="A16" s="5" t="s">
        <v>366</v>
      </c>
      <c r="B16" s="6" t="s">
        <v>367</v>
      </c>
      <c r="C16" s="7" t="s">
        <v>368</v>
      </c>
      <c r="D16" s="13" t="s">
        <v>365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37" t="s">
        <v>369</v>
      </c>
      <c r="B1" s="37"/>
      <c r="C1" s="37"/>
    </row>
    <row r="3" customFormat="false" ht="17.35" hidden="false" customHeight="false" outlineLevel="0" collapsed="false">
      <c r="A3" s="3" t="s">
        <v>370</v>
      </c>
      <c r="B3" s="3" t="s">
        <v>371</v>
      </c>
      <c r="C3" s="3" t="s">
        <v>372</v>
      </c>
    </row>
    <row r="4" customFormat="false" ht="35.05" hidden="false" customHeight="false" outlineLevel="0" collapsed="false">
      <c r="A4" s="5" t="s">
        <v>373</v>
      </c>
      <c r="B4" s="6" t="s">
        <v>374</v>
      </c>
      <c r="C4" s="9" t="s">
        <v>375</v>
      </c>
    </row>
    <row r="5" customFormat="false" ht="23.85" hidden="false" customHeight="false" outlineLevel="0" collapsed="false">
      <c r="A5" s="5" t="s">
        <v>376</v>
      </c>
      <c r="B5" s="6" t="s">
        <v>377</v>
      </c>
      <c r="C5" s="9" t="s">
        <v>378</v>
      </c>
    </row>
    <row r="6" customFormat="false" ht="15" hidden="false" customHeight="false" outlineLevel="0" collapsed="false">
      <c r="A6" s="5" t="s">
        <v>379</v>
      </c>
      <c r="B6" s="6" t="s">
        <v>380</v>
      </c>
      <c r="C6" s="9" t="s">
        <v>381</v>
      </c>
    </row>
    <row r="7" customFormat="false" ht="15" hidden="false" customHeight="false" outlineLevel="0" collapsed="false">
      <c r="A7" s="5" t="s">
        <v>382</v>
      </c>
      <c r="B7" s="6" t="s">
        <v>377</v>
      </c>
      <c r="C7" s="9" t="s">
        <v>383</v>
      </c>
    </row>
    <row r="8" customFormat="false" ht="23.85" hidden="false" customHeight="false" outlineLevel="0" collapsed="false">
      <c r="A8" s="5" t="s">
        <v>384</v>
      </c>
      <c r="B8" s="6" t="s">
        <v>374</v>
      </c>
      <c r="C8" s="9" t="s">
        <v>385</v>
      </c>
    </row>
    <row r="9" customFormat="false" ht="15" hidden="false" customHeight="false" outlineLevel="0" collapsed="false">
      <c r="A9" s="5" t="s">
        <v>386</v>
      </c>
      <c r="B9" s="6" t="s">
        <v>387</v>
      </c>
      <c r="C9" s="7" t="s">
        <v>388</v>
      </c>
    </row>
    <row r="10" customFormat="false" ht="23.85" hidden="false" customHeight="false" outlineLevel="0" collapsed="false">
      <c r="A10" s="5" t="s">
        <v>389</v>
      </c>
      <c r="B10" s="6" t="s">
        <v>374</v>
      </c>
      <c r="C10" s="9" t="s">
        <v>390</v>
      </c>
    </row>
    <row r="11" customFormat="false" ht="23.85" hidden="false" customHeight="false" outlineLevel="0" collapsed="false">
      <c r="A11" s="5" t="s">
        <v>391</v>
      </c>
      <c r="B11" s="6" t="s">
        <v>392</v>
      </c>
      <c r="C11" s="9" t="s">
        <v>393</v>
      </c>
    </row>
    <row r="12" customFormat="false" ht="15" hidden="false" customHeight="false" outlineLevel="0" collapsed="false">
      <c r="A12" s="5" t="s">
        <v>394</v>
      </c>
      <c r="B12" s="6" t="s">
        <v>395</v>
      </c>
      <c r="C12" s="7" t="s">
        <v>396</v>
      </c>
    </row>
    <row r="13" customFormat="false" ht="23.85" hidden="false" customHeight="false" outlineLevel="0" collapsed="false">
      <c r="A13" s="5" t="s">
        <v>397</v>
      </c>
      <c r="B13" s="6" t="s">
        <v>395</v>
      </c>
      <c r="C13" s="9" t="s">
        <v>398</v>
      </c>
    </row>
    <row r="14" customFormat="false" ht="23.85" hidden="false" customHeight="false" outlineLevel="0" collapsed="false">
      <c r="A14" s="5" t="s">
        <v>399</v>
      </c>
      <c r="B14" s="6" t="s">
        <v>395</v>
      </c>
      <c r="C14" s="9" t="s">
        <v>400</v>
      </c>
    </row>
    <row r="15" customFormat="false" ht="23.85" hidden="false" customHeight="false" outlineLevel="0" collapsed="false">
      <c r="A15" s="5" t="s">
        <v>401</v>
      </c>
      <c r="B15" s="6" t="s">
        <v>374</v>
      </c>
      <c r="C15" s="9" t="s">
        <v>402</v>
      </c>
    </row>
    <row r="17" customFormat="false" ht="15" hidden="false" customHeight="false" outlineLevel="0" collapsed="false">
      <c r="A17" s="4" t="s">
        <v>403</v>
      </c>
      <c r="B17" s="4"/>
      <c r="C17" s="4"/>
    </row>
    <row r="18" customFormat="false" ht="15" hidden="false" customHeight="false" outlineLevel="0" collapsed="false">
      <c r="A18" s="5" t="s">
        <v>404</v>
      </c>
      <c r="B18" s="6" t="s">
        <v>405</v>
      </c>
      <c r="C18" s="7" t="s">
        <v>406</v>
      </c>
    </row>
    <row r="19" customFormat="false" ht="15" hidden="false" customHeight="false" outlineLevel="0" collapsed="false">
      <c r="A19" s="5" t="s">
        <v>407</v>
      </c>
      <c r="B19" s="6" t="s">
        <v>405</v>
      </c>
      <c r="C19" s="7" t="s">
        <v>408</v>
      </c>
    </row>
    <row r="20" customFormat="false" ht="15" hidden="false" customHeight="false" outlineLevel="0" collapsed="false">
      <c r="A20" s="5" t="s">
        <v>409</v>
      </c>
      <c r="B20" s="6" t="s">
        <v>405</v>
      </c>
      <c r="C20" s="7" t="s">
        <v>410</v>
      </c>
    </row>
    <row r="21" customFormat="false" ht="15" hidden="false" customHeight="false" outlineLevel="0" collapsed="false">
      <c r="A21" s="5" t="s">
        <v>411</v>
      </c>
      <c r="B21" s="6" t="s">
        <v>405</v>
      </c>
      <c r="C21" s="7" t="s">
        <v>412</v>
      </c>
    </row>
    <row r="22" customFormat="false" ht="15" hidden="false" customHeight="false" outlineLevel="0" collapsed="false">
      <c r="A22" s="5" t="s">
        <v>413</v>
      </c>
      <c r="B22" s="6" t="s">
        <v>377</v>
      </c>
      <c r="C22" s="7" t="s">
        <v>414</v>
      </c>
    </row>
    <row r="23" customFormat="false" ht="15" hidden="false" customHeight="false" outlineLevel="0" collapsed="false">
      <c r="A23" s="5" t="s">
        <v>415</v>
      </c>
      <c r="B23" s="6" t="s">
        <v>405</v>
      </c>
      <c r="C23" s="7" t="s">
        <v>416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18"/>
    <col collapsed="false" customWidth="true" hidden="false" outlineLevel="0" max="5" min="5" style="0" width="25"/>
  </cols>
  <sheetData>
    <row r="1" customFormat="false" ht="17.35" hidden="false" customHeight="false" outlineLevel="0" collapsed="false">
      <c r="A1" s="34" t="s">
        <v>417</v>
      </c>
      <c r="B1" s="34"/>
      <c r="C1" s="34"/>
      <c r="D1" s="34"/>
      <c r="E1" s="34"/>
    </row>
    <row r="2" customFormat="false" ht="15" hidden="false" customHeight="false" outlineLevel="0" collapsed="false">
      <c r="A2" s="38" t="s">
        <v>418</v>
      </c>
      <c r="B2" s="38"/>
      <c r="C2" s="38"/>
      <c r="D2" s="38"/>
      <c r="E2" s="38"/>
    </row>
    <row r="4" customFormat="false" ht="17.35" hidden="false" customHeight="false" outlineLevel="0" collapsed="false">
      <c r="A4" s="26" t="s">
        <v>419</v>
      </c>
      <c r="B4" s="26" t="s">
        <v>420</v>
      </c>
      <c r="C4" s="26" t="s">
        <v>421</v>
      </c>
      <c r="D4" s="26" t="s">
        <v>422</v>
      </c>
      <c r="E4" s="26" t="s">
        <v>423</v>
      </c>
    </row>
    <row r="5" customFormat="false" ht="15" hidden="false" customHeight="false" outlineLevel="0" collapsed="false">
      <c r="A5" s="39" t="n">
        <v>48</v>
      </c>
      <c r="B5" s="39" t="n">
        <v>0.03</v>
      </c>
      <c r="C5" s="39" t="n">
        <v>5</v>
      </c>
      <c r="D5" s="39" t="s">
        <v>424</v>
      </c>
      <c r="E5" s="39" t="s">
        <v>425</v>
      </c>
    </row>
    <row r="6" customFormat="false" ht="15" hidden="false" customHeight="false" outlineLevel="0" collapsed="false">
      <c r="A6" s="39" t="n">
        <v>50</v>
      </c>
      <c r="B6" s="39" t="n">
        <v>0.21</v>
      </c>
      <c r="C6" s="39" t="n">
        <v>5</v>
      </c>
      <c r="D6" s="39" t="s">
        <v>426</v>
      </c>
      <c r="E6" s="39" t="s">
        <v>427</v>
      </c>
    </row>
    <row r="7" customFormat="false" ht="15" hidden="false" customHeight="false" outlineLevel="0" collapsed="false">
      <c r="A7" s="39" t="n">
        <v>55</v>
      </c>
      <c r="B7" s="39" t="n">
        <v>0.02</v>
      </c>
      <c r="C7" s="39" t="n">
        <v>5</v>
      </c>
      <c r="D7" s="39" t="s">
        <v>424</v>
      </c>
      <c r="E7" s="39" t="s">
        <v>425</v>
      </c>
    </row>
    <row r="8" customFormat="false" ht="15" hidden="false" customHeight="false" outlineLevel="0" collapsed="false">
      <c r="A8" s="39" t="n">
        <v>57</v>
      </c>
      <c r="B8" s="39" t="n">
        <v>0.31</v>
      </c>
      <c r="C8" s="39" t="n">
        <v>5</v>
      </c>
      <c r="D8" s="39" t="s">
        <v>424</v>
      </c>
      <c r="E8" s="39" t="s">
        <v>428</v>
      </c>
    </row>
    <row r="9" customFormat="false" ht="15" hidden="false" customHeight="false" outlineLevel="0" collapsed="false">
      <c r="A9" s="39" t="n">
        <v>58</v>
      </c>
      <c r="B9" s="39" t="n">
        <v>0.53</v>
      </c>
      <c r="C9" s="39" t="n">
        <v>5.45</v>
      </c>
      <c r="D9" s="39" t="s">
        <v>429</v>
      </c>
      <c r="E9" s="39" t="s">
        <v>430</v>
      </c>
    </row>
    <row r="10" customFormat="false" ht="15" hidden="false" customHeight="false" outlineLevel="0" collapsed="false">
      <c r="A10" s="39" t="n">
        <v>59</v>
      </c>
      <c r="B10" s="39" t="n">
        <v>0.75</v>
      </c>
      <c r="C10" s="39" t="n">
        <v>5.5</v>
      </c>
      <c r="D10" s="39" t="s">
        <v>424</v>
      </c>
      <c r="E10" s="39"/>
    </row>
    <row r="11" customFormat="false" ht="15" hidden="false" customHeight="false" outlineLevel="0" collapsed="false">
      <c r="A11" s="40" t="n">
        <v>60</v>
      </c>
      <c r="B11" s="40" t="n">
        <v>1.7</v>
      </c>
      <c r="C11" s="40" t="n">
        <v>4</v>
      </c>
      <c r="D11" s="40" t="s">
        <v>431</v>
      </c>
      <c r="E11" s="40" t="s">
        <v>432</v>
      </c>
    </row>
    <row r="12" customFormat="false" ht="15" hidden="false" customHeight="false" outlineLevel="0" collapsed="false">
      <c r="A12" s="39" t="n">
        <v>62</v>
      </c>
      <c r="B12" s="39" t="n">
        <v>1.5</v>
      </c>
      <c r="C12" s="39" t="n">
        <v>6.45</v>
      </c>
      <c r="D12" s="39" t="s">
        <v>433</v>
      </c>
      <c r="E12" s="39"/>
    </row>
    <row r="13" customFormat="false" ht="15" hidden="false" customHeight="false" outlineLevel="0" collapsed="false">
      <c r="A13" s="39" t="n">
        <v>63</v>
      </c>
      <c r="B13" s="39" t="n">
        <v>1.76</v>
      </c>
      <c r="C13" s="39" t="n">
        <v>6.5</v>
      </c>
      <c r="D13" s="39" t="s">
        <v>424</v>
      </c>
      <c r="E13" s="39"/>
    </row>
    <row r="14" customFormat="false" ht="15" hidden="false" customHeight="false" outlineLevel="0" collapsed="false">
      <c r="A14" s="41" t="n">
        <v>65</v>
      </c>
      <c r="B14" s="41" t="n">
        <v>2.36</v>
      </c>
      <c r="C14" s="41" t="n">
        <v>7</v>
      </c>
      <c r="D14" s="41" t="s">
        <v>434</v>
      </c>
      <c r="E14" s="41" t="s">
        <v>435</v>
      </c>
    </row>
    <row r="15" customFormat="false" ht="15" hidden="false" customHeight="false" outlineLevel="0" collapsed="false">
      <c r="A15" s="39" t="n">
        <v>66</v>
      </c>
      <c r="B15" s="39" t="n">
        <v>2.7</v>
      </c>
      <c r="C15" s="39" t="n">
        <v>7.5</v>
      </c>
      <c r="D15" s="39" t="s">
        <v>424</v>
      </c>
      <c r="E15" s="39"/>
    </row>
    <row r="16" customFormat="false" ht="15" hidden="false" customHeight="false" outlineLevel="0" collapsed="false">
      <c r="A16" s="39" t="n">
        <v>67</v>
      </c>
      <c r="B16" s="39" t="n">
        <v>3.4</v>
      </c>
      <c r="C16" s="39" t="n">
        <v>8</v>
      </c>
      <c r="D16" s="39" t="s">
        <v>436</v>
      </c>
      <c r="E16" s="39" t="s">
        <v>437</v>
      </c>
    </row>
    <row r="17" customFormat="false" ht="15" hidden="false" customHeight="false" outlineLevel="0" collapsed="false">
      <c r="A17" s="39" t="n">
        <v>68</v>
      </c>
      <c r="B17" s="39" t="n">
        <v>3.5</v>
      </c>
      <c r="C17" s="39" t="n">
        <v>8.4</v>
      </c>
      <c r="D17" s="39" t="s">
        <v>438</v>
      </c>
      <c r="E17" s="39"/>
    </row>
    <row r="18" customFormat="false" ht="15" hidden="false" customHeight="false" outlineLevel="0" collapsed="false">
      <c r="A18" s="39" t="n">
        <v>69</v>
      </c>
      <c r="B18" s="39" t="n">
        <v>3.9</v>
      </c>
      <c r="C18" s="39" t="n">
        <v>8.5</v>
      </c>
      <c r="D18" s="39" t="s">
        <v>439</v>
      </c>
      <c r="E18" s="39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4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15" hidden="false" customHeight="false" outlineLevel="0" collapsed="false">
      <c r="A1" s="42" t="s">
        <v>440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customFormat="false" ht="15" hidden="false" customHeight="false" outlineLevel="0" collapsed="false">
      <c r="A2" s="5" t="s">
        <v>441</v>
      </c>
      <c r="B2" s="43" t="n">
        <v>71.55</v>
      </c>
      <c r="C2" s="5" t="s">
        <v>442</v>
      </c>
      <c r="D2" s="44" t="n">
        <f aca="false">DATE(2026,9,26)</f>
        <v>46291</v>
      </c>
      <c r="E2" s="5" t="s">
        <v>443</v>
      </c>
      <c r="F2" s="45" t="n">
        <f aca="false">DATE(2026,12,31)-D2</f>
        <v>96</v>
      </c>
      <c r="G2" s="46" t="s">
        <v>444</v>
      </c>
    </row>
    <row r="4" customFormat="false" ht="15" hidden="false" customHeight="false" outlineLevel="0" collapsed="false">
      <c r="A4" s="16" t="s">
        <v>419</v>
      </c>
      <c r="B4" s="16" t="s">
        <v>445</v>
      </c>
      <c r="C4" s="16" t="s">
        <v>446</v>
      </c>
      <c r="D4" s="16" t="s">
        <v>447</v>
      </c>
      <c r="E4" s="16" t="s">
        <v>448</v>
      </c>
      <c r="F4" s="16" t="s">
        <v>449</v>
      </c>
      <c r="G4" s="16" t="s">
        <v>450</v>
      </c>
      <c r="H4" s="16" t="s">
        <v>451</v>
      </c>
      <c r="I4" s="16" t="s">
        <v>452</v>
      </c>
      <c r="J4" s="16" t="s">
        <v>453</v>
      </c>
      <c r="K4" s="16" t="s">
        <v>423</v>
      </c>
    </row>
    <row r="5" customFormat="false" ht="15" hidden="false" customHeight="false" outlineLevel="0" collapsed="false">
      <c r="A5" s="0" t="n">
        <v>55</v>
      </c>
      <c r="B5" s="47"/>
      <c r="C5" s="47" t="n">
        <v>2.38</v>
      </c>
      <c r="D5" s="47" t="n">
        <v>0.44</v>
      </c>
      <c r="E5" s="0" t="n">
        <v>30</v>
      </c>
      <c r="F5" s="47"/>
      <c r="G5" s="48" t="str">
        <f aca="false">IF(AND(ISNUMBER(D5),ISNUMBER(F5)),D5/F5-1,"")</f>
        <v/>
      </c>
      <c r="H5" s="49" t="n">
        <f aca="false">A5/$B$2-1</f>
        <v>-0.23130677847659</v>
      </c>
      <c r="I5" s="50" t="n">
        <f aca="false">MAX(A5-60,0)</f>
        <v>0</v>
      </c>
      <c r="J5" s="50" t="n">
        <f aca="false">MAX(A5-50,0)</f>
        <v>5</v>
      </c>
    </row>
    <row r="6" customFormat="false" ht="15" hidden="false" customHeight="false" outlineLevel="0" collapsed="false">
      <c r="A6" s="0" t="n">
        <v>57</v>
      </c>
      <c r="B6" s="47"/>
      <c r="C6" s="47" t="n">
        <v>1.03</v>
      </c>
      <c r="D6" s="47" t="n">
        <v>0.66</v>
      </c>
      <c r="E6" s="0" t="n">
        <v>55</v>
      </c>
      <c r="F6" s="47"/>
      <c r="G6" s="48" t="str">
        <f aca="false">IF(AND(ISNUMBER(D6),ISNUMBER(F6)),D6/F6-1,"")</f>
        <v/>
      </c>
      <c r="H6" s="49" t="n">
        <f aca="false">A6/$B$2-1</f>
        <v>-0.20335429769392</v>
      </c>
      <c r="I6" s="50" t="n">
        <f aca="false">MAX(A6-60,0)</f>
        <v>0</v>
      </c>
      <c r="J6" s="50" t="n">
        <f aca="false">MAX(A6-50,0)</f>
        <v>7</v>
      </c>
    </row>
    <row r="7" customFormat="false" ht="15" hidden="false" customHeight="false" outlineLevel="0" collapsed="false">
      <c r="A7" s="0" t="n">
        <v>58</v>
      </c>
      <c r="B7" s="47"/>
      <c r="C7" s="47" t="n">
        <v>1.17</v>
      </c>
      <c r="D7" s="47" t="n">
        <v>0.73</v>
      </c>
      <c r="E7" s="0" t="n">
        <v>5</v>
      </c>
      <c r="F7" s="47" t="n">
        <v>2.83</v>
      </c>
      <c r="G7" s="48" t="n">
        <f aca="false">IF(AND(ISNUMBER(D7),ISNUMBER(F7)),D7/F7-1,"")</f>
        <v>-0.742049469964664</v>
      </c>
      <c r="H7" s="49" t="n">
        <f aca="false">A7/$B$2-1</f>
        <v>-0.189378057302586</v>
      </c>
      <c r="I7" s="50" t="n">
        <f aca="false">MAX(A7-60,0)</f>
        <v>0</v>
      </c>
      <c r="J7" s="50" t="n">
        <f aca="false">MAX(A7-50,0)</f>
        <v>8</v>
      </c>
    </row>
    <row r="8" customFormat="false" ht="15" hidden="false" customHeight="false" outlineLevel="0" collapsed="false">
      <c r="A8" s="0" t="n">
        <v>59</v>
      </c>
      <c r="B8" s="47" t="n">
        <v>0.01</v>
      </c>
      <c r="C8" s="47" t="n">
        <v>1.38</v>
      </c>
      <c r="D8" s="47" t="n">
        <v>0.66</v>
      </c>
      <c r="E8" s="0" t="n">
        <v>5</v>
      </c>
      <c r="F8" s="47"/>
      <c r="G8" s="48" t="str">
        <f aca="false">IF(AND(ISNUMBER(D8),ISNUMBER(F8)),D8/F8-1,"")</f>
        <v/>
      </c>
      <c r="H8" s="49" t="n">
        <f aca="false">A8/$B$2-1</f>
        <v>-0.175401816911251</v>
      </c>
      <c r="I8" s="50" t="n">
        <f aca="false">MAX(A8-60,0)</f>
        <v>0</v>
      </c>
      <c r="J8" s="50" t="n">
        <f aca="false">MAX(A8-50,0)</f>
        <v>9</v>
      </c>
    </row>
    <row r="9" customFormat="false" ht="15" hidden="false" customHeight="false" outlineLevel="0" collapsed="false">
      <c r="A9" s="51" t="n">
        <v>60</v>
      </c>
      <c r="B9" s="52" t="n">
        <v>0.04</v>
      </c>
      <c r="C9" s="52" t="n">
        <v>0.7</v>
      </c>
      <c r="D9" s="52" t="n">
        <v>0.48</v>
      </c>
      <c r="E9" s="51" t="n">
        <v>530</v>
      </c>
      <c r="F9" s="52" t="n">
        <v>2.86</v>
      </c>
      <c r="G9" s="53" t="n">
        <f aca="false">IF(AND(ISNUMBER(D9),ISNUMBER(F9)),D9/F9-1,"")</f>
        <v>-0.832167832167832</v>
      </c>
      <c r="H9" s="54" t="n">
        <f aca="false">A9/$B$2-1</f>
        <v>-0.161425576519916</v>
      </c>
      <c r="I9" s="55" t="n">
        <f aca="false">MAX(A9-60,0)</f>
        <v>0</v>
      </c>
      <c r="J9" s="55" t="n">
        <f aca="false">MAX(A9-50,0)</f>
        <v>10</v>
      </c>
      <c r="K9" s="51" t="s">
        <v>454</v>
      </c>
    </row>
    <row r="10" customFormat="false" ht="15" hidden="false" customHeight="false" outlineLevel="0" collapsed="false">
      <c r="A10" s="0" t="n">
        <v>62</v>
      </c>
      <c r="B10" s="47"/>
      <c r="C10" s="47" t="n">
        <v>2.8</v>
      </c>
      <c r="D10" s="47" t="n">
        <v>0.68</v>
      </c>
      <c r="E10" s="0" t="n">
        <v>74</v>
      </c>
      <c r="F10" s="47" t="n">
        <v>4.3</v>
      </c>
      <c r="G10" s="48" t="n">
        <f aca="false">IF(AND(ISNUMBER(D10),ISNUMBER(F10)),D10/F10-1,"")</f>
        <v>-0.841860465116279</v>
      </c>
      <c r="H10" s="49" t="n">
        <f aca="false">A10/$B$2-1</f>
        <v>-0.133473095737247</v>
      </c>
      <c r="I10" s="50" t="n">
        <f aca="false">MAX(A10-60,0)</f>
        <v>2</v>
      </c>
      <c r="J10" s="50" t="n">
        <f aca="false">MAX(A10-50,0)</f>
        <v>12</v>
      </c>
    </row>
    <row r="11" customFormat="false" ht="15" hidden="false" customHeight="false" outlineLevel="0" collapsed="false">
      <c r="A11" s="0" t="n">
        <v>63</v>
      </c>
      <c r="B11" s="47" t="n">
        <v>0.07</v>
      </c>
      <c r="C11" s="47" t="n">
        <v>1.51</v>
      </c>
      <c r="D11" s="47" t="n">
        <v>0.86</v>
      </c>
      <c r="E11" s="0" t="n">
        <v>474</v>
      </c>
      <c r="F11" s="47"/>
      <c r="G11" s="48" t="str">
        <f aca="false">IF(AND(ISNUMBER(D11),ISNUMBER(F11)),D11/F11-1,"")</f>
        <v/>
      </c>
      <c r="H11" s="49" t="n">
        <f aca="false">A11/$B$2-1</f>
        <v>-0.119496855345912</v>
      </c>
      <c r="I11" s="50" t="n">
        <f aca="false">MAX(A11-60,0)</f>
        <v>3</v>
      </c>
      <c r="J11" s="50" t="n">
        <f aca="false">MAX(A11-50,0)</f>
        <v>13</v>
      </c>
      <c r="K11" s="46" t="s">
        <v>455</v>
      </c>
    </row>
    <row r="12" customFormat="false" ht="15" hidden="false" customHeight="false" outlineLevel="0" collapsed="false">
      <c r="A12" s="51" t="n">
        <v>65</v>
      </c>
      <c r="B12" s="52" t="n">
        <v>0.25</v>
      </c>
      <c r="C12" s="52" t="n">
        <v>2.06</v>
      </c>
      <c r="D12" s="52" t="n">
        <v>1.63</v>
      </c>
      <c r="E12" s="51" t="n">
        <v>28</v>
      </c>
      <c r="F12" s="52" t="n">
        <v>5.72</v>
      </c>
      <c r="G12" s="53" t="n">
        <f aca="false">IF(AND(ISNUMBER(D12),ISNUMBER(F12)),D12/F12-1,"")</f>
        <v>-0.715034965034965</v>
      </c>
      <c r="H12" s="54" t="n">
        <f aca="false">A12/$B$2-1</f>
        <v>-0.0915443745632425</v>
      </c>
      <c r="I12" s="55" t="n">
        <f aca="false">MAX(A12-60,0)</f>
        <v>5</v>
      </c>
      <c r="J12" s="55" t="n">
        <f aca="false">MAX(A12-50,0)</f>
        <v>15</v>
      </c>
      <c r="K12" s="51" t="s">
        <v>456</v>
      </c>
    </row>
    <row r="13" customFormat="false" ht="15" hidden="false" customHeight="false" outlineLevel="0" collapsed="false">
      <c r="A13" s="0" t="n">
        <v>67</v>
      </c>
      <c r="B13" s="47"/>
      <c r="C13" s="47" t="n">
        <v>3.75</v>
      </c>
      <c r="D13" s="47" t="n">
        <v>1.47</v>
      </c>
      <c r="E13" s="0" t="n">
        <v>27</v>
      </c>
      <c r="F13" s="47" t="n">
        <v>6.43</v>
      </c>
      <c r="G13" s="48" t="n">
        <f aca="false">IF(AND(ISNUMBER(D13),ISNUMBER(F13)),D13/F13-1,"")</f>
        <v>-0.771384136858476</v>
      </c>
      <c r="H13" s="49" t="n">
        <f aca="false">A13/$B$2-1</f>
        <v>-0.063591893780573</v>
      </c>
      <c r="I13" s="50" t="n">
        <f aca="false">MAX(A13-60,0)</f>
        <v>7</v>
      </c>
      <c r="J13" s="50" t="n">
        <f aca="false">MAX(A13-50,0)</f>
        <v>17</v>
      </c>
    </row>
    <row r="14" customFormat="false" ht="15" hidden="false" customHeight="false" outlineLevel="0" collapsed="false">
      <c r="A14" s="0" t="n">
        <v>68</v>
      </c>
      <c r="B14" s="47" t="n">
        <v>1.03</v>
      </c>
      <c r="C14" s="47" t="n">
        <v>2.73</v>
      </c>
      <c r="D14" s="47" t="n">
        <v>2.03</v>
      </c>
      <c r="E14" s="0" t="n">
        <v>48</v>
      </c>
      <c r="F14" s="47" t="n">
        <v>6.7</v>
      </c>
      <c r="G14" s="48" t="n">
        <f aca="false">IF(AND(ISNUMBER(D14),ISNUMBER(F14)),D14/F14-1,"")</f>
        <v>-0.697014925373134</v>
      </c>
      <c r="H14" s="49" t="n">
        <f aca="false">A14/$B$2-1</f>
        <v>-0.0496156533892382</v>
      </c>
      <c r="I14" s="50" t="n">
        <f aca="false">MAX(A14-60,0)</f>
        <v>8</v>
      </c>
      <c r="J14" s="50" t="n">
        <f aca="false">MAX(A14-50,0)</f>
        <v>18</v>
      </c>
    </row>
    <row r="15" customFormat="false" ht="15" hidden="false" customHeight="false" outlineLevel="0" collapsed="false">
      <c r="A15" s="0" t="n">
        <v>69</v>
      </c>
      <c r="B15" s="47" t="n">
        <v>0.24</v>
      </c>
      <c r="C15" s="47" t="n">
        <v>4</v>
      </c>
      <c r="D15" s="47" t="n">
        <v>2.08</v>
      </c>
      <c r="E15" s="0" t="n">
        <v>14</v>
      </c>
      <c r="F15" s="47" t="n">
        <v>5.89</v>
      </c>
      <c r="G15" s="48" t="n">
        <f aca="false">IF(AND(ISNUMBER(D15),ISNUMBER(F15)),D15/F15-1,"")</f>
        <v>-0.646859083191851</v>
      </c>
      <c r="H15" s="49" t="n">
        <f aca="false">A15/$B$2-1</f>
        <v>-0.0356394129979035</v>
      </c>
      <c r="I15" s="50" t="n">
        <f aca="false">MAX(A15-60,0)</f>
        <v>9</v>
      </c>
      <c r="J15" s="50" t="n">
        <f aca="false">MAX(A15-50,0)</f>
        <v>19</v>
      </c>
    </row>
    <row r="16" customFormat="false" ht="15" hidden="false" customHeight="false" outlineLevel="0" collapsed="false">
      <c r="A16" s="0" t="n">
        <v>70</v>
      </c>
      <c r="B16" s="47" t="n">
        <v>0.51</v>
      </c>
      <c r="C16" s="47" t="n">
        <v>4.65</v>
      </c>
      <c r="D16" s="47" t="n">
        <v>2.44</v>
      </c>
      <c r="E16" s="0" t="n">
        <v>24</v>
      </c>
      <c r="F16" s="47"/>
      <c r="G16" s="48" t="str">
        <f aca="false">IF(AND(ISNUMBER(D16),ISNUMBER(F16)),D16/F16-1,"")</f>
        <v/>
      </c>
      <c r="H16" s="49" t="n">
        <f aca="false">A16/$B$2-1</f>
        <v>-0.0216631726065688</v>
      </c>
      <c r="I16" s="50" t="n">
        <f aca="false">MAX(A16-60,0)</f>
        <v>10</v>
      </c>
      <c r="J16" s="50" t="n">
        <f aca="false">MAX(A16-50,0)</f>
        <v>20</v>
      </c>
    </row>
    <row r="17" customFormat="false" ht="15" hidden="false" customHeight="false" outlineLevel="0" collapsed="false">
      <c r="A17" s="0" t="n">
        <v>71</v>
      </c>
      <c r="B17" s="47" t="n">
        <v>2.08</v>
      </c>
      <c r="C17" s="47" t="n">
        <v>3.85</v>
      </c>
      <c r="D17" s="47" t="n">
        <v>3.1</v>
      </c>
      <c r="E17" s="0" t="n">
        <v>28</v>
      </c>
      <c r="F17" s="47"/>
      <c r="G17" s="48" t="str">
        <f aca="false">IF(AND(ISNUMBER(D17),ISNUMBER(F17)),D17/F17-1,"")</f>
        <v/>
      </c>
      <c r="H17" s="49" t="n">
        <f aca="false">A17/$B$2-1</f>
        <v>-0.00768693221523409</v>
      </c>
      <c r="I17" s="50" t="n">
        <f aca="false">MAX(A17-60,0)</f>
        <v>11</v>
      </c>
      <c r="J17" s="50" t="n">
        <f aca="false">MAX(A17-50,0)</f>
        <v>21</v>
      </c>
    </row>
    <row r="18" customFormat="false" ht="15" hidden="false" customHeight="false" outlineLevel="0" collapsed="false">
      <c r="A18" s="0" t="n">
        <v>72</v>
      </c>
      <c r="B18" s="47" t="n">
        <v>1.76</v>
      </c>
      <c r="C18" s="47" t="n">
        <v>5.15</v>
      </c>
      <c r="D18" s="47" t="n">
        <v>3.35</v>
      </c>
      <c r="E18" s="0" t="n">
        <v>35</v>
      </c>
      <c r="F18" s="47"/>
      <c r="G18" s="48" t="str">
        <f aca="false">IF(AND(ISNUMBER(D18),ISNUMBER(F18)),D18/F18-1,"")</f>
        <v/>
      </c>
      <c r="H18" s="49" t="n">
        <f aca="false">A18/$B$2-1</f>
        <v>0.00628930817610063</v>
      </c>
      <c r="I18" s="50" t="n">
        <f aca="false">MAX(A18-60,0)</f>
        <v>12</v>
      </c>
      <c r="J18" s="50" t="n">
        <f aca="false">MAX(A18-50,0)</f>
        <v>22</v>
      </c>
    </row>
    <row r="19" customFormat="false" ht="15" hidden="false" customHeight="false" outlineLevel="0" collapsed="false">
      <c r="A19" s="0" t="n">
        <v>75</v>
      </c>
      <c r="B19" s="47" t="n">
        <v>4</v>
      </c>
      <c r="C19" s="47" t="n">
        <v>6.55</v>
      </c>
      <c r="D19" s="47" t="n">
        <v>6.05</v>
      </c>
      <c r="E19" s="0" t="n">
        <v>147</v>
      </c>
      <c r="F19" s="47"/>
      <c r="G19" s="48" t="str">
        <f aca="false">IF(AND(ISNUMBER(D19),ISNUMBER(F19)),D19/F19-1,"")</f>
        <v/>
      </c>
      <c r="H19" s="49" t="n">
        <f aca="false">A19/$B$2-1</f>
        <v>0.0482180293501049</v>
      </c>
      <c r="I19" s="50" t="n">
        <f aca="false">MAX(A19-60,0)</f>
        <v>15</v>
      </c>
      <c r="J19" s="50" t="n">
        <f aca="false">MAX(A19-50,0)</f>
        <v>25</v>
      </c>
    </row>
    <row r="21" customFormat="false" ht="15" hidden="false" customHeight="false" outlineLevel="0" collapsed="false">
      <c r="A21" s="56" t="s">
        <v>457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57" t="s">
        <v>458</v>
      </c>
      <c r="B1" s="57"/>
      <c r="C1" s="57"/>
    </row>
    <row r="3" customFormat="false" ht="17.35" hidden="false" customHeight="false" outlineLevel="0" collapsed="false">
      <c r="A3" s="3" t="s">
        <v>459</v>
      </c>
      <c r="B3" s="3" t="s">
        <v>460</v>
      </c>
      <c r="C3" s="3" t="s">
        <v>461</v>
      </c>
      <c r="D3" s="16" t="s">
        <v>462</v>
      </c>
    </row>
    <row r="4" customFormat="false" ht="28.35" hidden="false" customHeight="false" outlineLevel="0" collapsed="false">
      <c r="A4" s="5" t="s">
        <v>463</v>
      </c>
      <c r="B4" s="6" t="s">
        <v>464</v>
      </c>
      <c r="C4" s="58" t="s">
        <v>465</v>
      </c>
      <c r="D4" s="13" t="s">
        <v>466</v>
      </c>
    </row>
    <row r="5" customFormat="false" ht="28.35" hidden="false" customHeight="false" outlineLevel="0" collapsed="false">
      <c r="A5" s="5" t="s">
        <v>467</v>
      </c>
      <c r="B5" s="6" t="s">
        <v>468</v>
      </c>
      <c r="C5" s="58" t="s">
        <v>469</v>
      </c>
      <c r="D5" s="36" t="s">
        <v>470</v>
      </c>
    </row>
    <row r="6" customFormat="false" ht="28.35" hidden="false" customHeight="false" outlineLevel="0" collapsed="false">
      <c r="A6" s="5" t="s">
        <v>471</v>
      </c>
      <c r="B6" s="6" t="s">
        <v>472</v>
      </c>
      <c r="C6" s="58" t="s">
        <v>473</v>
      </c>
      <c r="D6" s="13" t="s">
        <v>474</v>
      </c>
    </row>
    <row r="7" customFormat="false" ht="15" hidden="false" customHeight="false" outlineLevel="0" collapsed="false">
      <c r="A7" s="5" t="s">
        <v>475</v>
      </c>
      <c r="B7" s="6" t="s">
        <v>476</v>
      </c>
      <c r="C7" s="58" t="s">
        <v>477</v>
      </c>
      <c r="D7" s="36" t="s">
        <v>478</v>
      </c>
    </row>
    <row r="8" customFormat="false" ht="15" hidden="false" customHeight="false" outlineLevel="0" collapsed="false">
      <c r="A8" s="5" t="s">
        <v>479</v>
      </c>
      <c r="B8" s="6" t="s">
        <v>480</v>
      </c>
      <c r="C8" s="58" t="s">
        <v>481</v>
      </c>
      <c r="D8" s="36" t="s">
        <v>482</v>
      </c>
    </row>
    <row r="9" customFormat="false" ht="15" hidden="false" customHeight="false" outlineLevel="0" collapsed="false">
      <c r="A9" s="5" t="s">
        <v>483</v>
      </c>
      <c r="B9" s="6" t="s">
        <v>484</v>
      </c>
      <c r="C9" s="58" t="s">
        <v>485</v>
      </c>
      <c r="D9" s="36" t="s">
        <v>486</v>
      </c>
    </row>
    <row r="10" customFormat="false" ht="28.35" hidden="false" customHeight="false" outlineLevel="0" collapsed="false">
      <c r="A10" s="5" t="s">
        <v>487</v>
      </c>
      <c r="B10" s="6" t="s">
        <v>488</v>
      </c>
      <c r="C10" s="58" t="s">
        <v>489</v>
      </c>
      <c r="D10" s="36" t="s">
        <v>490</v>
      </c>
    </row>
    <row r="11" customFormat="false" ht="15" hidden="false" customHeight="false" outlineLevel="0" collapsed="false">
      <c r="A11" s="5" t="s">
        <v>491</v>
      </c>
      <c r="B11" s="6" t="s">
        <v>492</v>
      </c>
      <c r="C11" s="58" t="s">
        <v>493</v>
      </c>
      <c r="D11" s="13" t="s">
        <v>494</v>
      </c>
    </row>
    <row r="12" customFormat="false" ht="28.35" hidden="false" customHeight="false" outlineLevel="0" collapsed="false">
      <c r="A12" s="5" t="s">
        <v>495</v>
      </c>
      <c r="B12" s="6" t="s">
        <v>496</v>
      </c>
      <c r="C12" s="58" t="s">
        <v>497</v>
      </c>
      <c r="D12" s="13" t="s">
        <v>498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2026-02-16T04:53:19Z</dcterms:created>
  <dc:creator>openpyxl</dc:creator>
  <dc:description/>
  <dc:language>en-US</dc:language>
  <cp:lastModifiedBy/>
  <dcterms:modified xsi:type="dcterms:W3CDTF">2026-09-26T15:16:11Z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