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al Clock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Supplier Signals" sheetId="4" state="visible" r:id="rId4"/>
    <sheet xmlns:r="http://schemas.openxmlformats.org/officeDocument/2006/relationships" name="Conversion Clock" sheetId="5" state="visible" r:id="rId5"/>
    <sheet xmlns:r="http://schemas.openxmlformats.org/officeDocument/2006/relationships" name="Event Study" sheetId="6" state="visible" r:id="rId6"/>
    <sheet xmlns:r="http://schemas.openxmlformats.org/officeDocument/2006/relationships" name="Case Studies" sheetId="7" state="visible" r:id="rId7"/>
    <sheet xmlns:r="http://schemas.openxmlformats.org/officeDocument/2006/relationships" name="Sources &amp; Method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Hardware Deliveries" sheetId="10" state="visible" r:id="rId10"/>
    <sheet xmlns:r="http://schemas.openxmlformats.org/officeDocument/2006/relationships" name="Power Deliveries" sheetId="11" state="visible" r:id="rId11"/>
    <sheet xmlns:r="http://schemas.openxmlformats.org/officeDocument/2006/relationships" name="Coverage Calendar" sheetId="12" state="visible" r:id="rId12"/>
    <sheet xmlns:r="http://schemas.openxmlformats.org/officeDocument/2006/relationships" name="Sell Backtest" sheetId="13" state="visible" r:id="rId13"/>
  </sheets>
  <definedNames>
    <definedName name="_xlnm._FilterDatabase" localSheetId="3" hidden="1">'Supplier Signals'!$A$1:$X$24</definedName>
    <definedName name="_xlnm._FilterDatabase" localSheetId="9" hidden="1">'Hardware Deliveries'!$A$4:$P$56</definedName>
    <definedName name="_xlnm._FilterDatabase" localSheetId="10" hidden="1">'Power Deliveries'!$A$4:$Q$55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0.0"/>
    <numFmt numFmtId="166" formatCode="$#,##0.00;[Red]($#,##0.00);-"/>
    <numFmt numFmtId="167" formatCode="m/d/yy"/>
    <numFmt numFmtId="168" formatCode="0.00x"/>
    <numFmt numFmtId="169" formatCode="$#,##0,,&quot;M&quot;"/>
    <numFmt numFmtId="170" formatCode="#,##0.0;[Red](#,##0.0);-"/>
    <numFmt numFmtId="171" formatCode="mmm d, yyyy"/>
  </numFmts>
  <fonts count="51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color rgb="00008000"/>
      <sz val="8"/>
    </font>
    <font>
      <b val="1"/>
      <color rgb="007030A0"/>
    </font>
    <font>
      <color rgb="007030A0"/>
    </font>
    <font>
      <color rgb="000000FF"/>
    </font>
    <font>
      <i val="1"/>
      <color rgb="00666666"/>
    </font>
    <font>
      <b val="1"/>
      <color rgb="00FFFFFF"/>
      <sz val="16"/>
    </font>
    <font>
      <color rgb="00666666"/>
    </font>
    <font>
      <b val="1"/>
      <color rgb="00FFFFFF"/>
      <sz val="11"/>
    </font>
    <font>
      <b val="1"/>
      <sz val="8"/>
    </font>
    <font>
      <b val="1"/>
    </font>
    <font>
      <color rgb="0017365D"/>
    </font>
    <font>
      <b val="1"/>
      <color rgb="00FFFFFF"/>
      <sz val="15"/>
    </font>
    <font>
      <b val="1"/>
      <color rgb="00F4B183"/>
    </font>
    <font>
      <b val="1"/>
      <color rgb="000F6B78"/>
    </font>
    <font>
      <b val="1"/>
      <color rgb="00666666"/>
    </font>
    <font>
      <b val="1"/>
      <color rgb="00FFFFFF"/>
      <sz val="18"/>
    </font>
    <font>
      <i val="1"/>
      <color rgb="00666666"/>
      <sz val="10"/>
    </font>
    <font>
      <b val="1"/>
      <color rgb="00000000"/>
    </font>
    <font>
      <b val="1"/>
      <color rgb="0017365D"/>
    </font>
    <font>
      <name val="Aptos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FFFFFF"/>
      <sz val="11"/>
    </font>
    <font>
      <name val="Aptos"/>
      <b val="1"/>
      <color rgb="00FFFFFF"/>
      <sz val="10"/>
    </font>
    <font>
      <name val="Aptos"/>
      <family val="2"/>
      <color theme="1"/>
      <sz val="11"/>
      <scheme val="minor"/>
    </font>
    <font>
      <name val="Aptos"/>
      <b val="1"/>
      <color rgb="000F6B78"/>
      <sz val="10"/>
    </font>
    <font>
      <name val="Aptos"/>
      <b val="1"/>
      <color rgb="00000000"/>
      <sz val="10"/>
    </font>
    <font>
      <name val="Aptos"/>
      <b val="1"/>
      <color rgb="0017365D"/>
      <sz val="10"/>
    </font>
    <font>
      <name val="Aptos"/>
      <b val="1"/>
      <color rgb="00F4B183"/>
      <sz val="10"/>
    </font>
    <font>
      <name val="Aptos"/>
      <color rgb="00008000"/>
      <sz val="10"/>
    </font>
    <font>
      <name val="Aptos"/>
      <color rgb="00000000"/>
      <sz val="10"/>
    </font>
    <font>
      <name val="Aptos"/>
      <color rgb="00008000"/>
      <sz val="8"/>
    </font>
    <font>
      <name val="Aptos"/>
      <b val="1"/>
      <color rgb="007030A0"/>
      <sz val="10"/>
    </font>
    <font>
      <name val="Aptos"/>
      <color rgb="007030A0"/>
      <sz val="10"/>
    </font>
    <font>
      <name val="Aptos"/>
      <color rgb="000000FF"/>
      <sz val="10"/>
    </font>
    <font>
      <name val="Aptos"/>
      <b val="1"/>
      <color rgb="00FFFFFF"/>
      <sz val="16"/>
    </font>
    <font>
      <name val="Aptos"/>
      <color rgb="00666666"/>
      <sz val="10"/>
    </font>
    <font>
      <name val="Aptos"/>
      <b val="1"/>
      <sz val="8"/>
    </font>
    <font>
      <name val="Aptos"/>
      <b val="1"/>
      <sz val="10"/>
    </font>
    <font>
      <name val="Aptos"/>
      <color rgb="0017365D"/>
      <sz val="10"/>
    </font>
    <font>
      <name val="Aptos"/>
      <b val="1"/>
      <color rgb="00FFFFFF"/>
      <sz val="15"/>
    </font>
    <font>
      <name val="Aptos"/>
      <b val="1"/>
      <color rgb="00666666"/>
      <sz val="10"/>
    </font>
    <font>
      <i val="1"/>
      <color rgb="0044546A"/>
      <sz val="10"/>
    </font>
    <font>
      <b val="1"/>
      <color rgb="00008C95"/>
      <sz val="14"/>
    </font>
    <font>
      <color rgb="0044546A"/>
    </font>
    <font>
      <b val="1"/>
      <color rgb="00C65911"/>
      <sz val="14"/>
    </font>
    <font>
      <name val="Calibri"/>
      <family val="2"/>
      <color theme="10"/>
      <sz val="12"/>
      <scheme val="minor"/>
    </font>
    <font>
      <color rgb="00008000"/>
      <u val="single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D9EAD3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0F6B78"/>
      </patternFill>
    </fill>
    <fill>
      <patternFill patternType="solid">
        <fgColor rgb="00EAF0F8"/>
      </patternFill>
    </fill>
    <fill>
      <patternFill patternType="solid">
        <fgColor rgb="000F243E"/>
      </patternFill>
    </fill>
    <fill>
      <patternFill patternType="solid">
        <fgColor rgb="00FFFDEB"/>
      </patternFill>
    </fill>
  </fills>
  <borders count="6">
    <border>
      <left/>
      <right/>
      <top/>
      <bottom/>
      <diagonal/>
    </border>
    <border>
      <bottom style="medium">
        <color rgb="0017365D"/>
      </bottom>
    </border>
    <border>
      <bottom style="thin">
        <color rgb="00BFBFBF"/>
      </bottom>
    </border>
    <border>
      <top style="medium">
        <color rgb="0017365D"/>
      </top>
    </border>
    <border>
      <bottom style="thin">
        <color rgb="00D9E1F2"/>
      </bottom>
    </border>
    <border>
      <left/>
      <right/>
      <top style="medium">
        <color rgb="0017365D"/>
      </top>
      <bottom/>
      <diagonal/>
    </border>
  </borders>
  <cellStyleXfs count="2">
    <xf numFmtId="0" fontId="0" fillId="0" borderId="0"/>
    <xf numFmtId="0" fontId="49" fillId="0" borderId="0"/>
  </cellStyleXfs>
  <cellXfs count="110">
    <xf numFmtId="0" fontId="0" fillId="0" borderId="0" pivotButton="0" quotePrefix="0" xfId="0"/>
    <xf numFmtId="0" fontId="23" fillId="2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top"/>
    </xf>
    <xf numFmtId="0" fontId="25" fillId="2" borderId="0" applyAlignment="1" pivotButton="0" quotePrefix="0" xfId="0">
      <alignment horizontal="left" vertical="top"/>
    </xf>
    <xf numFmtId="0" fontId="2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top"/>
    </xf>
    <xf numFmtId="164" fontId="27" fillId="0" borderId="0" applyAlignment="1" pivotButton="0" quotePrefix="0" xfId="0">
      <alignment vertical="top"/>
    </xf>
    <xf numFmtId="165" fontId="27" fillId="0" borderId="0" applyAlignment="1" pivotButton="0" quotePrefix="0" xfId="0">
      <alignment vertical="top"/>
    </xf>
    <xf numFmtId="0" fontId="28" fillId="6" borderId="0" applyAlignment="1" pivotButton="0" quotePrefix="0" xfId="0">
      <alignment vertical="top"/>
    </xf>
    <xf numFmtId="0" fontId="29" fillId="6" borderId="0" applyAlignment="1" pivotButton="0" quotePrefix="0" xfId="0">
      <alignment vertical="top"/>
    </xf>
    <xf numFmtId="164" fontId="29" fillId="6" borderId="0" applyAlignment="1" pivotButton="0" quotePrefix="0" xfId="0">
      <alignment vertical="top"/>
    </xf>
    <xf numFmtId="165" fontId="29" fillId="6" borderId="0" applyAlignment="1" pivotButton="0" quotePrefix="0" xfId="0">
      <alignment vertical="top"/>
    </xf>
    <xf numFmtId="0" fontId="26" fillId="11" borderId="0" applyAlignment="1" pivotButton="0" quotePrefix="0" xfId="0">
      <alignment horizontal="center" vertical="top"/>
    </xf>
    <xf numFmtId="0" fontId="30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/>
    </xf>
    <xf numFmtId="17" fontId="32" fillId="0" borderId="0" applyAlignment="1" pivotButton="0" quotePrefix="0" xfId="0">
      <alignment vertical="top"/>
    </xf>
    <xf numFmtId="166" fontId="32" fillId="0" borderId="0" applyAlignment="1" pivotButton="0" quotePrefix="0" xfId="0">
      <alignment vertical="top"/>
    </xf>
    <xf numFmtId="0" fontId="33" fillId="0" borderId="0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67" fontId="32" fillId="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17" fontId="27" fillId="0" borderId="0" applyAlignment="1" pivotButton="0" quotePrefix="0" xfId="0">
      <alignment vertical="top" wrapText="1"/>
    </xf>
    <xf numFmtId="166" fontId="27" fillId="0" borderId="0" applyAlignment="1" pivotButton="0" quotePrefix="0" xfId="0">
      <alignment vertical="top" wrapText="1"/>
    </xf>
    <xf numFmtId="164" fontId="27" fillId="0" borderId="0" applyAlignment="1" pivotButton="0" quotePrefix="0" xfId="0">
      <alignment vertical="top" wrapText="1"/>
    </xf>
    <xf numFmtId="1" fontId="27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/>
    </xf>
    <xf numFmtId="0" fontId="39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 wrapText="1"/>
    </xf>
    <xf numFmtId="0" fontId="40" fillId="3" borderId="2" applyAlignment="1" pivotButton="0" quotePrefix="0" xfId="0">
      <alignment vertical="top"/>
    </xf>
    <xf numFmtId="0" fontId="40" fillId="3" borderId="2" applyAlignment="1" pivotButton="0" quotePrefix="0" xfId="0">
      <alignment horizontal="center" vertical="top"/>
    </xf>
    <xf numFmtId="0" fontId="41" fillId="0" borderId="0" applyAlignment="1" pivotButton="0" quotePrefix="0" xfId="0">
      <alignment vertical="top"/>
    </xf>
    <xf numFmtId="0" fontId="42" fillId="4" borderId="0" applyAlignment="1" pivotButton="0" quotePrefix="0" xfId="0">
      <alignment horizontal="center" vertical="top"/>
    </xf>
    <xf numFmtId="0" fontId="42" fillId="5" borderId="0" applyAlignment="1" pivotButton="0" quotePrefix="0" xfId="0">
      <alignment horizontal="center" vertical="top"/>
    </xf>
    <xf numFmtId="0" fontId="42" fillId="6" borderId="0" applyAlignment="1" pivotButton="0" quotePrefix="0" xfId="0">
      <alignment horizontal="center" vertical="top"/>
    </xf>
    <xf numFmtId="0" fontId="42" fillId="7" borderId="0" applyAlignment="1" pivotButton="0" quotePrefix="0" xfId="0">
      <alignment horizontal="center" vertical="top"/>
    </xf>
    <xf numFmtId="0" fontId="42" fillId="8" borderId="0" applyAlignment="1" pivotButton="0" quotePrefix="0" xfId="0">
      <alignment horizontal="center" vertical="top"/>
    </xf>
    <xf numFmtId="0" fontId="42" fillId="9" borderId="0" applyAlignment="1" pivotButton="0" quotePrefix="0" xfId="0">
      <alignment horizontal="center" vertical="top"/>
    </xf>
    <xf numFmtId="0" fontId="42" fillId="10" borderId="0" applyAlignment="1" pivotButton="0" quotePrefix="0" xfId="0">
      <alignment horizontal="center" vertical="top"/>
    </xf>
    <xf numFmtId="0" fontId="43" fillId="2" borderId="0" applyAlignment="1" pivotButton="0" quotePrefix="0" xfId="0">
      <alignment vertical="top"/>
    </xf>
    <xf numFmtId="0" fontId="39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 wrapText="1"/>
    </xf>
    <xf numFmtId="17" fontId="33" fillId="0" borderId="0" applyAlignment="1" pivotButton="0" quotePrefix="0" xfId="0">
      <alignment vertical="top" wrapText="1"/>
    </xf>
    <xf numFmtId="1" fontId="33" fillId="0" borderId="0" applyAlignment="1" pivotButton="0" quotePrefix="0" xfId="0">
      <alignment vertical="top" wrapText="1"/>
    </xf>
    <xf numFmtId="0" fontId="44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4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5" fillId="12" borderId="0" applyAlignment="1" pivotButton="0" quotePrefix="0" xfId="0">
      <alignment vertical="center" wrapText="1"/>
    </xf>
    <xf numFmtId="0" fontId="1" fillId="13" borderId="3" applyAlignment="1" pivotButton="0" quotePrefix="0" xfId="0">
      <alignment horizontal="left"/>
    </xf>
    <xf numFmtId="0" fontId="0" fillId="0" borderId="3" pivotButton="0" quotePrefix="0" xfId="0"/>
    <xf numFmtId="0" fontId="1" fillId="2" borderId="0" applyAlignment="1" pivotButton="0" quotePrefix="0" xfId="0">
      <alignment horizontal="center"/>
    </xf>
    <xf numFmtId="0" fontId="46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top"/>
    </xf>
    <xf numFmtId="1" fontId="3" fillId="0" borderId="0" applyAlignment="1" pivotButton="0" quotePrefix="0" xfId="0">
      <alignment vertical="top"/>
    </xf>
    <xf numFmtId="0" fontId="47" fillId="0" borderId="0" applyAlignment="1" pivotButton="0" quotePrefix="0" xfId="0">
      <alignment vertical="top" wrapText="1"/>
    </xf>
    <xf numFmtId="168" fontId="3" fillId="0" borderId="0" applyAlignment="1" pivotButton="0" quotePrefix="0" xfId="0">
      <alignment vertical="top"/>
    </xf>
    <xf numFmtId="0" fontId="48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1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27" fillId="0" borderId="0" applyAlignment="1" pivotButton="0" quotePrefix="0" xfId="0">
      <alignment vertical="top"/>
    </xf>
    <xf numFmtId="165" fontId="27" fillId="0" borderId="0" applyAlignment="1" pivotButton="0" quotePrefix="0" xfId="0">
      <alignment vertical="top"/>
    </xf>
    <xf numFmtId="164" fontId="29" fillId="6" borderId="0" applyAlignment="1" pivotButton="0" quotePrefix="0" xfId="0">
      <alignment vertical="top"/>
    </xf>
    <xf numFmtId="165" fontId="29" fillId="6" borderId="0" applyAlignment="1" pivotButton="0" quotePrefix="0" xfId="0">
      <alignment vertical="top"/>
    </xf>
    <xf numFmtId="166" fontId="32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66" fontId="27" fillId="0" borderId="0" applyAlignment="1" pivotButton="0" quotePrefix="0" xfId="0">
      <alignment vertical="top" wrapText="1"/>
    </xf>
    <xf numFmtId="164" fontId="27" fillId="0" borderId="0" applyAlignment="1" pivotButton="0" quotePrefix="0" xfId="0">
      <alignment vertical="top" wrapText="1"/>
    </xf>
    <xf numFmtId="164" fontId="33" fillId="0" borderId="0" applyAlignment="1" pivotButton="0" quotePrefix="0" xfId="0">
      <alignment vertical="top" wrapText="1"/>
    </xf>
    <xf numFmtId="0" fontId="1" fillId="2" borderId="4" applyAlignment="1" pivotButton="0" quotePrefix="0" xfId="0">
      <alignment horizontal="center" vertical="center" wrapText="1"/>
    </xf>
    <xf numFmtId="2" fontId="7" fillId="14" borderId="0" applyAlignment="1" pivotButton="0" quotePrefix="0" xfId="0">
      <alignment vertical="top"/>
    </xf>
    <xf numFmtId="169" fontId="2" fillId="0" borderId="0" applyAlignment="1" pivotButton="0" quotePrefix="0" xfId="0">
      <alignment vertical="top"/>
    </xf>
    <xf numFmtId="168" fontId="7" fillId="14" borderId="0" applyAlignment="1" pivotButton="0" quotePrefix="0" xfId="0">
      <alignment vertical="top"/>
    </xf>
    <xf numFmtId="1" fontId="7" fillId="14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7" fillId="14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7" fontId="7" fillId="14" borderId="0" applyAlignment="1" pivotButton="0" quotePrefix="0" xfId="0">
      <alignment vertical="top"/>
    </xf>
    <xf numFmtId="0" fontId="7" fillId="14" borderId="0" pivotButton="0" quotePrefix="0" xfId="0"/>
    <xf numFmtId="169" fontId="7" fillId="14" borderId="0" pivotButton="0" quotePrefix="0" xfId="0"/>
    <xf numFmtId="169" fontId="7" fillId="14" borderId="0" applyAlignment="1" pivotButton="0" quotePrefix="0" xfId="0">
      <alignment vertical="top"/>
    </xf>
    <xf numFmtId="170" fontId="3" fillId="0" borderId="0" applyAlignment="1" pivotButton="0" quotePrefix="0" xfId="0">
      <alignment vertical="top"/>
    </xf>
    <xf numFmtId="0" fontId="50" fillId="0" borderId="0" applyAlignment="1" pivotButton="0" quotePrefix="0" xfId="1">
      <alignment vertical="top"/>
    </xf>
    <xf numFmtId="2" fontId="3" fillId="0" borderId="0" applyAlignment="1" pivotButton="0" quotePrefix="0" xfId="0">
      <alignment vertical="top"/>
    </xf>
    <xf numFmtId="17" fontId="1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71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  <xf numFmtId="0" fontId="0" fillId="0" borderId="5" pivotButton="0" quotePrefix="0" xfId="0"/>
    <xf numFmtId="168" fontId="3" fillId="0" borderId="0" applyAlignment="1" pivotButton="0" quotePrefix="0" xfId="0">
      <alignment vertical="top"/>
    </xf>
    <xf numFmtId="169" fontId="2" fillId="0" borderId="0" applyAlignment="1" pivotButton="0" quotePrefix="0" xfId="0">
      <alignment vertical="top"/>
    </xf>
    <xf numFmtId="168" fontId="7" fillId="14" borderId="0" applyAlignment="1" pivotButton="0" quotePrefix="0" xfId="0">
      <alignment vertical="top"/>
    </xf>
    <xf numFmtId="169" fontId="7" fillId="14" borderId="0" pivotButton="0" quotePrefix="0" xfId="0"/>
    <xf numFmtId="169" fontId="7" fillId="14" borderId="0" applyAlignment="1" pivotButton="0" quotePrefix="0" xfId="0">
      <alignment vertical="top"/>
    </xf>
    <xf numFmtId="170" fontId="3" fillId="0" borderId="0" applyAlignment="1" pivotButton="0" quotePrefix="0" xfId="0">
      <alignment vertical="top"/>
    </xf>
    <xf numFmtId="171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SOXX monthly close with physical-signal period</a:t>
            </a:r>
          </a:p>
        </rich>
      </tx>
    </title>
    <plotArea>
      <lineChart>
        <grouping val="standard"/>
        <ser>
          <idx val="0"/>
          <order val="0"/>
          <tx>
            <strRef>
              <f>'Market Data'!B1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 Data'!$A$2:$A$46</f>
            </numRef>
          </cat>
          <val>
            <numRef>
              <f>'Market Data'!$B$2:$B$46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SOXX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SOXX forward return after upstream physical signals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'Dashboard'!$C$6:$C$8</f>
            </numRef>
          </val>
        </ser>
        <ser>
          <idx val="1"/>
          <order val="1"/>
          <tx>
            <strRef>
              <f>'Dashboard'!E5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'Dashboard'!$E$6:$E$8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Forward 6M hardware-to-power coverage</a:t>
            </a:r>
          </a:p>
        </rich>
      </tx>
    </title>
    <plotArea>
      <lineChart>
        <grouping val="standard"/>
        <ser>
          <idx val="0"/>
          <order val="0"/>
          <tx>
            <strRef>
              <f>'Coverage Calendar'!G4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'Coverage Calendar'!$A$5:$A$40</f>
            </numRef>
          </cat>
          <val>
            <numRef>
              <f>'Coverage Calendar'!$G$5:$G$40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ratio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Remaining SOXX upside after warning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'Sell Backtest'!L4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'Sell Backtest'!$A$5:$A$10</f>
            </numRef>
          </cat>
          <val>
            <numRef>
              <f>'Sell Backtest'!$L$5:$L$10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Signal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Upside to Jun 22 peak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SOXX monthly close: https://www.statmuse.com/money/ask?q=soxx+returns+2011-2024</t>
      </text>
    </comment>
    <comment ref="B3" authorId="0" shapeId="0">
      <text>
        <t>SOXX monthly close: https://www.statmuse.com/money/ask?q=soxx+returns+2011-2024</t>
      </text>
    </comment>
    <comment ref="B4" authorId="0" shapeId="0">
      <text>
        <t>SOXX monthly close: https://www.statmuse.com/money/ask?q=soxx+returns+2011-2024</t>
      </text>
    </comment>
    <comment ref="B5" authorId="0" shapeId="0">
      <text>
        <t>SOXX monthly close: https://www.statmuse.com/money/ask?q=soxx+returns+2011-2024</t>
      </text>
    </comment>
    <comment ref="B6" authorId="0" shapeId="0">
      <text>
        <t>SOXX monthly close: https://www.statmuse.com/money/ask?q=soxx+returns+2011-2024</t>
      </text>
    </comment>
    <comment ref="B7" authorId="0" shapeId="0">
      <text>
        <t>SOXX monthly close: https://www.statmuse.com/money/ask?q=soxx+returns+2011-2024</t>
      </text>
    </comment>
    <comment ref="B8" authorId="0" shapeId="0">
      <text>
        <t>SOXX monthly close: https://www.statmuse.com/money/ask?q=soxx+returns+2011-2024</t>
      </text>
    </comment>
    <comment ref="B9" authorId="0" shapeId="0">
      <text>
        <t>SOXX monthly close: https://www.statmuse.com/money/ask?q=soxx+returns+2011-2024</t>
      </text>
    </comment>
    <comment ref="B10" authorId="0" shapeId="0">
      <text>
        <t>SOXX monthly close: https://www.statmuse.com/money/ask?q=soxx+returns+2011-2024</t>
      </text>
    </comment>
    <comment ref="B11" authorId="0" shapeId="0">
      <text>
        <t>SOXX monthly close: https://www.statmuse.com/money/ask?q=soxx+returns+2011-2024</t>
      </text>
    </comment>
    <comment ref="B12" authorId="0" shapeId="0">
      <text>
        <t>SOXX monthly close: https://www.statmuse.com/money/ask?q=soxx+returns+2011-2024</t>
      </text>
    </comment>
    <comment ref="B13" authorId="0" shapeId="0">
      <text>
        <t>SOXX monthly close: https://www.statmuse.com/money/ask?q=soxx+returns+2011-2024</t>
      </text>
    </comment>
    <comment ref="B14" authorId="0" shapeId="0">
      <text>
        <t>SOXX monthly close: https://www.statmuse.com/money/ask?q=soxx+returns+2011-2024</t>
      </text>
    </comment>
    <comment ref="B15" authorId="0" shapeId="0">
      <text>
        <t>SOXX monthly close: https://www.statmuse.com/money/ask?q=soxx+returns+2011-2024</t>
      </text>
    </comment>
    <comment ref="B16" authorId="0" shapeId="0">
      <text>
        <t>SOXX monthly close: https://www.statmuse.com/money/ask?q=soxx+returns+2011-2024</t>
      </text>
    </comment>
    <comment ref="B17" authorId="0" shapeId="0">
      <text>
        <t>SOXX monthly close: https://www.statmuse.com/money/ask?q=soxx+returns+2011-2024</t>
      </text>
    </comment>
    <comment ref="B18" authorId="0" shapeId="0">
      <text>
        <t>SOXX monthly close: https://www.statmuse.com/money/ask?q=soxx+returns+2011-2024</t>
      </text>
    </comment>
    <comment ref="B19" authorId="0" shapeId="0">
      <text>
        <t>SOXX monthly close: https://www.statmuse.com/money/ask?q=soxx+returns+2011-2024</t>
      </text>
    </comment>
    <comment ref="B20" authorId="0" shapeId="0">
      <text>
        <t>SOXX monthly close: https://www.statmuse.com/money/ask?q=soxx+returns+2011-2024</t>
      </text>
    </comment>
    <comment ref="B21" authorId="0" shapeId="0">
      <text>
        <t>SOXX monthly close: https://www.statmuse.com/money/ask?q=soxx+returns+2011-2024</t>
      </text>
    </comment>
    <comment ref="B22" authorId="0" shapeId="0">
      <text>
        <t>SOXX monthly close: https://www.statmuse.com/money/ask?q=soxx+returns+2011-2024</t>
      </text>
    </comment>
    <comment ref="B23" authorId="0" shapeId="0">
      <text>
        <t>SOXX monthly close: https://www.statmuse.com/money/ask?q=soxx+returns+2011-2024</t>
      </text>
    </comment>
    <comment ref="B24" authorId="0" shapeId="0">
      <text>
        <t>SOXX monthly close: https://www.statmuse.com/money/ask?q=soxx+returns+2011-2024</t>
      </text>
    </comment>
    <comment ref="B25" authorId="0" shapeId="0">
      <text>
        <t>SOXX monthly close: https://www.statmuse.com/money/ask?q=soxx+returns+2011-2024</t>
      </text>
    </comment>
    <comment ref="B26" authorId="0" shapeId="0">
      <text>
        <t>SOXX monthly close: https://www.statmuse.com/money/ask/soxx-return-from-2020-to-2025</t>
      </text>
    </comment>
    <comment ref="B27" authorId="0" shapeId="0">
      <text>
        <t>SOXX monthly close: https://www.statmuse.com/money/ask/soxx-return-from-2020-to-2025</t>
      </text>
    </comment>
    <comment ref="B28" authorId="0" shapeId="0">
      <text>
        <t>SOXX monthly close: https://www.statmuse.com/money/ask/soxx-return-from-2020-to-2025</t>
      </text>
    </comment>
    <comment ref="B29" authorId="0" shapeId="0">
      <text>
        <t>SOXX monthly close: https://www.statmuse.com/money/ask/soxx-return-from-2020-to-2025</t>
      </text>
    </comment>
    <comment ref="B30" authorId="0" shapeId="0">
      <text>
        <t>SOXX monthly close: https://www.statmuse.com/money/ask/soxx-return-from-2020-to-2025</t>
      </text>
    </comment>
    <comment ref="B31" authorId="0" shapeId="0">
      <text>
        <t>SOXX monthly close: https://www.statmuse.com/money/ask/soxx-return-from-2020-to-2025</t>
      </text>
    </comment>
    <comment ref="B32" authorId="0" shapeId="0">
      <text>
        <t>SOXX monthly close: https://www.statmuse.com/money/ask/soxx-return-from-2020-to-2025</t>
      </text>
    </comment>
    <comment ref="B33" authorId="0" shapeId="0">
      <text>
        <t>SOXX monthly close: https://www.statmuse.com/money/ask/soxx-return-from-2020-to-2025</t>
      </text>
    </comment>
    <comment ref="B34" authorId="0" shapeId="0">
      <text>
        <t>SOXX monthly close: https://www.statmuse.com/money/ask/soxx-return-from-2020-to-2025</t>
      </text>
    </comment>
    <comment ref="B35" authorId="0" shapeId="0">
      <text>
        <t>SOXX monthly close: https://www.statmuse.com/money/ask/soxx-return-from-2020-to-2025</t>
      </text>
    </comment>
    <comment ref="B36" authorId="0" shapeId="0">
      <text>
        <t>SOXX monthly close: https://www.statmuse.com/money/ask/soxx-return-from-2020-to-2025</t>
      </text>
    </comment>
    <comment ref="B37" authorId="0" shapeId="0">
      <text>
        <t>SOXX monthly close: https://www.statmuse.com/money/ask/soxx-return-from-2020-to-2025</t>
      </text>
    </comment>
    <comment ref="B38" authorId="0" shapeId="0">
      <text>
        <t>SOXX monthly close: https://www.statmuse.com/money/ask/soxx-return-from-2020-to-2025</t>
      </text>
    </comment>
    <comment ref="B39" authorId="0" shapeId="0">
      <text>
        <t>SOXX monthly close: https://www.statmuse.com/money/ask?q=What%27s+the+all-time+high+for+SOXX%3F</t>
      </text>
    </comment>
    <comment ref="B40" authorId="0" shapeId="0">
      <text>
        <t>SOXX monthly close: https://www.statmuse.com/money/ask?q=What%27s+the+all-time+high+for+SOXX%3F</t>
      </text>
    </comment>
    <comment ref="B41" authorId="0" shapeId="0">
      <text>
        <t>SOXX monthly close: https://www.statmuse.com/money/ask?q=What%27s+the+all-time+high+for+SOXX%3F</t>
      </text>
    </comment>
    <comment ref="B42" authorId="0" shapeId="0">
      <text>
        <t>SOXX monthly close: https://www.statmuse.com/money/ask?q=What%27s+the+all-time+high+for+SOXX%3F</t>
      </text>
    </comment>
    <comment ref="B43" authorId="0" shapeId="0">
      <text>
        <t>SOXX monthly close: https://www.statmuse.com/money/ask?q=What%27s+the+all-time+high+for+SOXX%3F</t>
      </text>
    </comment>
    <comment ref="B44" authorId="0" shapeId="0">
      <text>
        <t>SOXX monthly close: https://www.statmuse.com/money/ask?q=What%27s+the+all-time+high+for+SOXX%3F</t>
      </text>
    </comment>
    <comment ref="B45" authorId="0" shapeId="0">
      <text>
        <t>SOXX monthly close: https://www.statmuse.com/money/ask?q=What%27s+the+all-time+high+for+SOXX%3F</t>
      </text>
    </comment>
    <comment ref="B46" authorId="0" shapeId="0">
      <text>
        <t>SOXX monthly close: https://www.statmuse.com/money/ask?q=What%27s+the+all-time+high+for+SOXX%3F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I2" authorId="0" shapeId="0">
      <text>
        <t>Primary/official source for event: https://www.eaton.com/us/en-us/company/news-insights/news-releases/2023/eaton-reports-record-fourth-quarter-2022-results.html</t>
      </text>
    </comment>
    <comment ref="J2" authorId="0" shapeId="0">
      <text>
        <t>Primary/official source for magnitude: https://www.eaton.com/us/en-us/company/news-insights/news-releases/2023/eaton-reports-record-fourth-quarter-2022-results.html</t>
      </text>
    </comment>
    <comment ref="I3" authorId="0" shapeId="0">
      <text>
        <t>Primary/official source for event: https://investors.vertiv.com/news/news-details/2023/Vertiv-Reports-Strong-Third-Quarter-Results-and-Raises-Full-Year-2023-Outlook/default.aspx</t>
      </text>
    </comment>
    <comment ref="J3" authorId="0" shapeId="0">
      <text>
        <t>Primary/official source for magnitude: https://investors.vertiv.com/news/news-details/2023/Vertiv-Reports-Strong-Third-Quarter-Results-and-Raises-Full-Year-2023-Outlook/default.aspx</t>
      </text>
    </comment>
    <comment ref="I4" authorId="0" shapeId="0">
      <text>
        <t>Primary/official source for event: https://investors.vertiv.com/news/news-details/2024/Vertiv-Reports-Strong-Fourth-Quarter-Results-and-Provides-Full-Year-2024-Outlook/default.aspx</t>
      </text>
    </comment>
    <comment ref="J4" authorId="0" shapeId="0">
      <text>
        <t>Primary/official source for magnitude: https://investors.vertiv.com/news/news-details/2024/Vertiv-Reports-Strong-Fourth-Quarter-Results-and-Provides-Full-Year-2024-Outlook/default.aspx</t>
      </text>
    </comment>
    <comment ref="I5" authorId="0" shapeId="0">
      <text>
        <t>Primary/official source for event: https://news.skhynix.com/en/new-leadership-spotlight-vice-president-kitae-kim-head-of-hbm-sales-marketing/</t>
      </text>
    </comment>
    <comment ref="J5" authorId="0" shapeId="0">
      <text>
        <t>Primary/official source for magnitude: https://news.skhynix.com/en/new-leadership-spotlight-vice-president-kitae-kim-head-of-hbm-sales-marketing/</t>
      </text>
    </comment>
    <comment ref="I6" authorId="0" shapeId="0">
      <text>
        <t>Primary/official source for event: https://www.dell.com/en-us/dt/corporate/newsroom/announcements/detailpage.press-releases~usa~2024~02~dell-technologies-delivers-fourth-quarter-and-full-year-fiscal-2024-financial-results.htm</t>
      </text>
    </comment>
    <comment ref="J6" authorId="0" shapeId="0">
      <text>
        <t>Primary/official source for magnitude: https://www.dell.com/en-us/dt/corporate/newsroom/announcements/detailpage.press-releases~usa~2024~02~dell-technologies-delivers-fourth-quarter-and-full-year-fiscal-2024-financial-results.htm</t>
      </text>
    </comment>
    <comment ref="I7" authorId="0" shapeId="0">
      <text>
        <t>Primary/official source for event: https://investors.vertiv.com/news/news-details/2024/Vertiv-Reports-60-Organic-Orders-Growth-8-Net-Sales-Growth-in-First-Quarter-Updates-Full-Year-2024-Outlook/default.aspx</t>
      </text>
    </comment>
    <comment ref="J7" authorId="0" shapeId="0">
      <text>
        <t>Primary/official source for magnitude: https://investors.vertiv.com/news/news-details/2024/Vertiv-Reports-60-Organic-Orders-Growth-8-Net-Sales-Growth-in-First-Quarter-Updates-Full-Year-2024-Outlook/default.aspx</t>
      </text>
    </comment>
    <comment ref="I8" authorId="0" shapeId="0">
      <text>
        <t>Primary/official source for event: https://investors.delltechnologies.com/news-releases/news-release-details/dell-technologies-delivers-first-quarter-fiscal-2025-financial</t>
      </text>
    </comment>
    <comment ref="J8" authorId="0" shapeId="0">
      <text>
        <t>Primary/official source for magnitude: https://investors.delltechnologies.com/news-releases/news-release-details/dell-technologies-delivers-first-quarter-fiscal-2025-financial</t>
      </text>
    </comment>
    <comment ref="I9" authorId="0" shapeId="0">
      <text>
        <t>Primary/official source for event: https://investor.tsmc.com/english/encrypt/files/encrypt_file/reports/2024-08/5122725a56670882d777a8e8bfe0ed247cc55330/TSMC%202Q24%20Transcript.pdf</t>
      </text>
    </comment>
    <comment ref="J9" authorId="0" shapeId="0">
      <text>
        <t>Primary/official source for magnitude: https://investor.tsmc.com/english/encrypt/files/encrypt_file/reports/2024-08/5122725a56670882d777a8e8bfe0ed247cc55330/TSMC%202Q24%20Transcript.pdf</t>
      </text>
    </comment>
    <comment ref="I10" authorId="0" shapeId="0">
      <text>
        <t>Primary/official source for event: https://investors.vertiv.com/news/news-details/2024/Vertiv-Reports-Strong-Third-Quarter-2024-Results-and-Raises-Full-Year-Guidance/default.aspx</t>
      </text>
    </comment>
    <comment ref="J10" authorId="0" shapeId="0">
      <text>
        <t>Primary/official source for magnitude: https://investors.vertiv.com/news/news-details/2024/Vertiv-Reports-Strong-Third-Quarter-2024-Results-and-Raises-Full-Year-Guidance/default.aspx</t>
      </text>
    </comment>
    <comment ref="I11" authorId="0" shapeId="0">
      <text>
        <t>Primary/official source for event: https://www.eaton.com/content/dam/eaton/company/investor-relations/quarterly-earnings/filings/2024/q4/4Q-2024-analyst-presentation.pdf</t>
      </text>
    </comment>
    <comment ref="J11" authorId="0" shapeId="0">
      <text>
        <t>Primary/official source for magnitude: https://www.eaton.com/content/dam/eaton/company/investor-relations/quarterly-earnings/filings/2024/q4/4Q-2024-analyst-presentation.pdf</t>
      </text>
    </comment>
    <comment ref="I12" authorId="0" shapeId="0">
      <text>
        <t>Primary/official source for event: https://investors.micron.com/static-files/52ce0c07-49dc-4eab-b1d2-a67bde373bca</t>
      </text>
    </comment>
    <comment ref="J12" authorId="0" shapeId="0">
      <text>
        <t>Primary/official source for magnitude: https://investors.micron.com/static-files/52ce0c07-49dc-4eab-b1d2-a67bde373bca</t>
      </text>
    </comment>
    <comment ref="I13" authorId="0" shapeId="0">
      <text>
        <t>Primary/official source for event: https://investors.vertiv.com/news/news-details/2025/Vertiv-Reports-Strong-Orders-Sales-and-EPS-Growth-Raises-Full-Year-Guidance/</t>
      </text>
    </comment>
    <comment ref="J13" authorId="0" shapeId="0">
      <text>
        <t>Primary/official source for magnitude: https://investors.vertiv.com/news/news-details/2025/Vertiv-Reports-Strong-Orders-Sales-and-EPS-Growth-Raises-Full-Year-Guidance/</t>
      </text>
    </comment>
    <comment ref="I14" authorId="0" shapeId="0">
      <text>
        <t>Primary/official source for event: https://investors.caterpillar.com/news/news-details/2025/Joule-Caterpillar-and-Wheeler-Announce-an-Agreement-to-Power-Americas-Growing-Data-Center-Energy-Needs/default.aspx</t>
      </text>
    </comment>
    <comment ref="J14" authorId="0" shapeId="0">
      <text>
        <t>Primary/official source for magnitude: https://investors.caterpillar.com/news/news-details/2025/Joule-Caterpillar-and-Wheeler-Announce-an-Agreement-to-Power-Americas-Growing-Data-Center-Energy-Needs/default.aspx</t>
      </text>
    </comment>
    <comment ref="I15" authorId="0" shapeId="0">
      <text>
        <t>Primary/official source for event: https://investors.caterpillar.com/news/news-details/2025/Caterpillar-and-Hunt-Energy-Company-L-P--Sign-Long-Term-Strategic-Agreement-to-Deliver-Power-Solutions-for-Data-Centers/default.aspx</t>
      </text>
    </comment>
    <comment ref="J15" authorId="0" shapeId="0">
      <text>
        <t>Primary/official source for magnitude: https://investors.caterpillar.com/news/news-details/2025/Caterpillar-and-Hunt-Energy-Company-L-P--Sign-Long-Term-Strategic-Agreement-to-Deliver-Power-Solutions-for-Data-Centers/default.aspx</t>
      </text>
    </comment>
    <comment ref="I16" authorId="0" shapeId="0">
      <text>
        <t>Primary/official source for event: https://investors.vertiv.com/news/news-details/2025/Vertiv-Reports-Strong-Third-Quarter-Results-including-Organic-Orders-60-Diluted-EPS-122-Adjusted-EPS-63-Raises-2025-Guidance/</t>
      </text>
    </comment>
    <comment ref="J16" authorId="0" shapeId="0">
      <text>
        <t>Primary/official source for magnitude: https://investors.vertiv.com/news/news-details/2025/Vertiv-Reports-Strong-Third-Quarter-Results-including-Organic-Orders-60-Diluted-EPS-122-Adjusted-EPS-63-Raises-2025-Guidance/</t>
      </text>
    </comment>
    <comment ref="I17" authorId="0" shapeId="0">
      <text>
        <t>Primary/official source for event: https://www.eaton.com/content/dam/eaton/company/investor-relations/quarterly-earnings/filings/2025/q3/3Q-2025-earnings-complete.pdf</t>
      </text>
    </comment>
    <comment ref="J17" authorId="0" shapeId="0">
      <text>
        <t>Primary/official source for magnitude: https://www.eaton.com/content/dam/eaton/company/investor-relations/quarterly-earnings/filings/2025/q3/3Q-2025-earnings-complete.pdf</t>
      </text>
    </comment>
    <comment ref="I18" authorId="0" shapeId="0">
      <text>
        <t>Primary/official source for event: https://investors.caterpillar.com/news/news-details/2026/American-Intelligence--Power-Forms-Strategic-Alliance-with-Caterpillar-and-Boyd-CAT-to-Deploy-2-Gigawatts-of-Dedicated-Power-for-Hyperscale-AI-Infrastructure/default.aspx</t>
      </text>
    </comment>
    <comment ref="J18" authorId="0" shapeId="0">
      <text>
        <t>Primary/official source for magnitude: https://investors.caterpillar.com/news/news-details/2026/American-Intelligence--Power-Forms-Strategic-Alliance-with-Caterpillar-and-Boyd-CAT-to-Deploy-2-Gigawatts-of-Dedicated-Power-for-Hyperscale-AI-Infrastructure/default.aspx</t>
      </text>
    </comment>
    <comment ref="I19" authorId="0" shapeId="0">
      <text>
        <t>Primary/official source for event: https://www.eaton.com/content/dam/eaton/company/investor-relations/quarterly-earnings/filings/2025/q4/4Q-2025-analyst-presentation.pdf</t>
      </text>
    </comment>
    <comment ref="J19" authorId="0" shapeId="0">
      <text>
        <t>Primary/official source for magnitude: https://www.eaton.com/content/dam/eaton/company/investor-relations/quarterly-earnings/filings/2025/q4/4Q-2025-analyst-presentation.pdf</t>
      </text>
    </comment>
    <comment ref="I20" authorId="0" shapeId="0">
      <text>
        <t>Primary/official source for event: https://investors.vertiv.com/news/news-details/2026/Vertiv-Reports-Strong-Fourth-Quarter-with-Organic-Orders-Growth-of-252-and-Diluted-EPS-Growth-of-200-Adjusted-Diluted-EPS-37/</t>
      </text>
    </comment>
    <comment ref="J20" authorId="0" shapeId="0">
      <text>
        <t>Primary/official source for magnitude: https://investors.vertiv.com/news/news-details/2026/Vertiv-Reports-Strong-Fourth-Quarter-with-Organic-Orders-Growth-of-252-and-Diluted-EPS-Growth-of-200-Adjusted-Diluted-EPS-37/</t>
      </text>
    </comment>
    <comment ref="I21" authorId="0" shapeId="0">
      <text>
        <t>Primary/official source for event: https://emcorgroup.com/investor-relations/press-releases/2026-news/emcor-group-inc-reports-fourth-quarter-and-full-year-2025-results</t>
      </text>
    </comment>
    <comment ref="J21" authorId="0" shapeId="0">
      <text>
        <t>Primary/official source for magnitude: https://emcorgroup.com/investor-relations/press-releases/2026-news/emcor-group-inc-reports-fourth-quarter-and-full-year-2025-results</t>
      </text>
    </comment>
    <comment ref="I22" authorId="0" shapeId="0">
      <text>
        <t>Primary/official source for event: https://www.eaton.com/content/dam/eaton/company/investor-relations/quarterly-earnings/filings/2026/q1/q1-2026-analyst-presentation.pdf</t>
      </text>
    </comment>
    <comment ref="J22" authorId="0" shapeId="0">
      <text>
        <t>Primary/official source for magnitude: https://www.eaton.com/content/dam/eaton/company/investor-relations/quarterly-earnings/filings/2026/q1/q1-2026-analyst-presentation.pdf</t>
      </text>
    </comment>
    <comment ref="I23" authorId="0" shapeId="0">
      <text>
        <t>Primary/official source for event: https://www.dell.com/en-us/dt/corporate/newsroom/announcements/detailpage.press-releases~usa~2026~05~dell-technologies-delivers-first-quarter-fiscal-2027-financial-results.htm</t>
      </text>
    </comment>
    <comment ref="J23" authorId="0" shapeId="0">
      <text>
        <t>Primary/official source for magnitude: https://www.dell.com/en-us/dt/corporate/newsroom/announcements/detailpage.press-releases~usa~2026~05~dell-technologies-delivers-first-quarter-fiscal-2027-financial-results.htm</t>
      </text>
    </comment>
    <comment ref="I24" authorId="0" shapeId="0">
      <text>
        <t>Primary/official source for event: https://www.dell.com/en-us/dt/corporate/newsroom/announcements/detailpage.press-releases~usa~2026~09~dell-technologies-delivers-second-quarter-fiscal-2027-financial-results.htm</t>
      </text>
    </comment>
    <comment ref="J24" authorId="0" shapeId="0">
      <text>
        <t>Primary/official source for magnitude: https://www.dell.com/en-us/dt/corporate/newsroom/announcements/detailpage.press-releases~usa~2026~09~dell-technologies-delivers-second-quarter-fiscal-2027-financial-results.htm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H5" authorId="0" shapeId="0">
      <text>
        <t>CAT Monarch 2 GW order: Jan 28, 2026; genset deliveries Sep 2026–Aug 2027, commissioning within months. https://investors.caterpillar.com/news/news-details/2026/American-Intelligence--Power-Forms-Strategic-Alliance-with-Caterpillar-and-Boyd-CAT-to-Deploy-2-Gigawatts-of-Dedicated-Power-for-Hyperscale-AI-Infrastructure/default.aspx</t>
      </text>
    </comment>
    <comment ref="H6" authorId="0" shapeId="0">
      <text>
        <t>EMCOR says large projects often span multiple years. 2025 RPO and data-center construction growth: https://www.sec.gov/Archives/edgar/data/105634/000010563426000025/eme-20251231.htm</t>
      </text>
    </comment>
    <comment ref="H7" authorId="0" shapeId="0">
      <text>
        <t>Vertiv 2025 10-K: majority of $15B backlog expected to ship within 12–18 months. https://www.sec.gov/Archives/edgar/data/1674101/000167410126000008/vrt-20251231.htm</t>
      </text>
    </comment>
    <comment ref="H8" authorId="0" shapeId="0">
      <text>
        <t>SK hynix Feb 2024: current-year HBM sold out, already preparing next year. Micron Mar 2025: 2025 HBM sold out, negotiating 2026 demand.</t>
      </text>
    </comment>
    <comment ref="H9" authorId="0" shapeId="0">
      <text>
        <t>Dell: AI orders/backlog provide a visible late-stage bridge; Q1 FY25 orders $2.6B, shipments $1.7B, backlog $3.8B.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B9" authorId="0" shapeId="0">
      <text>
        <t>Source: https://investor.nvidia.com/files/content_files/TRANSCRIPT_-NVIDIA-Corp-NVDA-US-Q2-2027-Earnings-Call-26-August-2026-5_00-PM-ET.pdf</t>
      </text>
    </comment>
    <comment ref="B10" authorId="0" shapeId="0">
      <text>
        <t>Source: https://investor.nvidia.com/files/content_files/TRANSCRIPT_-NVIDIA-Corp-NVDA-US-Q2-2027-Earnings-Call-26-August-2026-5_00-PM-ET.pdf</t>
      </text>
    </comment>
    <comment ref="B11" authorId="0" shapeId="0">
      <text>
        <t>Source: https://investor.nvidia.com/files/content_files/TRANSCRIPT_-NVIDIA-Corp-NVDA-US-Q2-2027-Earnings-Call-26-August-2026-5_00-PM-ET.pdf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investor.nvidia.com/files/content_files/TRANSCRIPT_-NVIDIA-Corp-NVDA-US-Q2-2027-Earnings-Call-26-August-2026-5_00-PM-ET.pdf" TargetMode="External" Id="rId1"/><Relationship Type="http://schemas.openxmlformats.org/officeDocument/2006/relationships/hyperlink" Target="https://investors.delltechnologies.com/static-files/a24f97e4-63b2-460d-a4be-44738826e8ce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investors.caterpillar.com/news/news-details/2026/American-Intelligence--Power-Forms-Strategic-Alliance-with-Caterpillar-and-Boyd-CAT-to-Deploy-2-Gigawatts-of-Dedicated-Power-for-Hyperscale-AI-Infrastructure/default.aspx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cdn.jpmorganfunds.com/content/dam/jpm-am-aem/global/en/insights/eye-on-the-market/abandon-ship-amv.pdf" TargetMode="External" Id="rId1"/><Relationship Type="http://schemas.openxmlformats.org/officeDocument/2006/relationships/hyperlink" Target="https://www.eaton.com/us/en-us/company/investor-relations/financial-presentations-webcasts.html" TargetMode="External" Id="rId2"/><Relationship Type="http://schemas.openxmlformats.org/officeDocument/2006/relationships/hyperlink" Target="https://investor.nvidia.com/news/press-release-details/2026/NVIDIA-Announces-Financial-Results-for-First-Quarter-Fiscal-2027/default.aspx" TargetMode="External" Id="rId3"/><Relationship Type="http://schemas.openxmlformats.org/officeDocument/2006/relationships/hyperlink" Target="https://investors.delltechnologies.com/news-releases/news-release-details/dell-technologies-delivers-first-quarter-fiscal-2027-financial" TargetMode="External" Id="rId4"/><Relationship Type="http://schemas.openxmlformats.org/officeDocument/2006/relationships/hyperlink" Target="https://www.wsj.com/tech/ai/americas-data-center-build-out-is-falling-way-behind-schedule-e408a9a8" TargetMode="External" Id="rId5"/><Relationship Type="http://schemas.openxmlformats.org/officeDocument/2006/relationships/hyperlink" Target="https://www.ferc.gov/news-events/news/ferc-launches-aggressive-targeted-action-speed-large-load-integration" TargetMode="External" Id="rId6"/><Relationship Type="http://schemas.openxmlformats.org/officeDocument/2006/relationships/hyperlink" Target="https://ca.finance.yahoo.com/quote/SOXX/history/" TargetMode="External" Id="rId7"/><Relationship Type="http://schemas.openxmlformats.org/officeDocument/2006/relationships/hyperlink" Target="https://investors.vertiv.com/news/news-details/2026/Vertiv-Reports-Strong-Second-Quarter-2026-with-Diluted-EPS-Growth-of-53-Adjusted-Diluted-EPS-Growth-of-60-Raises-Full-Year-2026-Guidance-Across-All-Key-Metrics/default.aspx" TargetMode="External" Id="rId8"/><Relationship Type="http://schemas.openxmlformats.org/officeDocument/2006/relationships/hyperlink" Target="https://www.eaton.com/us/en-us/company/news-insights/news-releases/2026/eaton-reports-record-second-quarter-2026-results.html" TargetMode="External" Id="rId9"/><Relationship Type="http://schemas.openxmlformats.org/officeDocument/2006/relationships/hyperlink" Target="https://investor.nvidia.com/news/press-release-details/2026/NVIDIA-Announces-Financial-Results-for-Second-Quarter-Fiscal-2027/default.aspx" TargetMode="External" Id="rId10"/><Relationship Type="http://schemas.openxmlformats.org/officeDocument/2006/relationships/hyperlink" Target="https://investors.delltechnologies.com/static-files/a24f97e4-63b2-460d-a4be-44738826e8ce" TargetMode="External" Id="rId11"/><Relationship Type="http://schemas.openxmlformats.org/officeDocument/2006/relationships/hyperlink" Target="https://investors.caterpillar.com/news/news-details/2026/American-Intelligence--Power-Forms-Strategic-Alliance-with-Caterpillar-and-Boyd-CAT-to-Deploy-2-Gigawatts-of-Dedicated-Power-for-Hyperscale-AI-Infrastructure/default.aspx" TargetMode="External" Id="rId12"/><Relationship Type="http://schemas.openxmlformats.org/officeDocument/2006/relationships/drawing" Target="/xl/drawings/drawing3.xm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4" customWidth="1" min="4" max="4"/>
    <col width="28" customWidth="1" min="5" max="5"/>
    <col width="18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6" t="inlineStr">
        <is>
          <t>Powered Silicon Dual Clock</t>
        </is>
      </c>
    </row>
    <row r="2" ht="30" customHeight="1">
      <c r="A2" s="57" t="inlineStr">
        <is>
          <t>BUY CLOCK: irreversible physical infrastructure implies future silicon. SELL CLOCK: hardware deliveries/revenue outrun energizable capacity and power becomes binding again.</t>
        </is>
      </c>
    </row>
    <row r="4">
      <c r="A4" s="58" t="inlineStr">
        <is>
          <t>CURRENT READ — SEP 4, 2026</t>
        </is>
      </c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</row>
    <row r="5">
      <c r="A5" s="60" t="inlineStr">
        <is>
          <t>BUY CLOCK</t>
        </is>
      </c>
      <c r="E5" s="58" t="inlineStr">
        <is>
          <t>MODEL INPUTS</t>
        </is>
      </c>
      <c r="F5" s="102" t="n"/>
      <c r="G5" s="102" t="n"/>
      <c r="H5" s="102" t="n"/>
      <c r="I5" s="102" t="n"/>
      <c r="J5" s="102" t="n"/>
      <c r="K5" s="102" t="n"/>
      <c r="L5" s="102" t="n"/>
    </row>
    <row r="6">
      <c r="A6" s="61" t="inlineStr">
        <is>
          <t>ACTIVE / ACCUMULATION</t>
        </is>
      </c>
      <c r="E6" s="62" t="inlineStr">
        <is>
          <t>Current sell convergence score</t>
        </is>
      </c>
      <c r="F6" s="63">
        <f>MAX('Sell Backtest'!G16:G20)</f>
        <v/>
      </c>
      <c r="I6" s="62" t="inlineStr">
        <is>
          <t>0–5</t>
        </is>
      </c>
    </row>
    <row r="7">
      <c r="A7" s="64" t="inlineStr">
        <is>
          <t>New power/electrical tranches remain contracted and physically moving toward 2027.</t>
        </is>
      </c>
      <c r="E7" s="62" t="inlineStr">
        <is>
          <t>Latest Fwd 6M hardware/power ratio</t>
        </is>
      </c>
      <c r="F7" s="103">
        <f>IFERROR(LOOKUP(2,1/('Coverage Calendar'!G5:G40&lt;&gt;""),'Coverage Calendar'!G5:G40),"NO DATA")</f>
        <v/>
      </c>
      <c r="I7" s="62" t="inlineStr">
        <is>
          <t>x</t>
        </is>
      </c>
    </row>
    <row r="8">
      <c r="A8" s="60" t="inlineStr">
        <is>
          <t>SELL CLOCK</t>
        </is>
      </c>
      <c r="E8" s="62" t="inlineStr">
        <is>
          <t>Current coverage risk band</t>
        </is>
      </c>
      <c r="F8" s="63">
        <f>IFERROR(LOOKUP(2,1/('Coverage Calendar'!H5:H40&lt;&gt;"NO DATA"),'Coverage Calendar'!H5:H40),"NO DATA")</f>
        <v/>
      </c>
      <c r="I8" s="62" t="inlineStr"/>
    </row>
    <row r="9">
      <c r="A9" s="66" t="inlineStr">
        <is>
          <t>SELL CLOCK</t>
        </is>
      </c>
      <c r="E9" s="62" t="inlineStr">
        <is>
          <t>SOXX Jun-22 peak</t>
        </is>
      </c>
      <c r="F9" s="62" t="n">
        <v>655.01</v>
      </c>
      <c r="I9" s="62" t="inlineStr">
        <is>
          <t>$</t>
        </is>
      </c>
    </row>
    <row r="10">
      <c r="A10" s="64" t="inlineStr">
        <is>
          <t>WATCH — NOT RED</t>
        </is>
      </c>
      <c r="E10" s="62" t="inlineStr">
        <is>
          <t>Current model regime</t>
        </is>
      </c>
      <c r="F10" s="62" t="inlineStr">
        <is>
          <t>Re-accumulation after reset / next infrastructure tranche</t>
        </is>
      </c>
      <c r="I10" s="62" t="inlineStr"/>
    </row>
    <row r="11">
      <c r="A11" s="60" t="inlineStr">
        <is>
          <t>NEXT CONFIRMATION</t>
        </is>
      </c>
    </row>
    <row r="12">
      <c r="A12" s="61" t="inlineStr">
        <is>
          <t>DELIVERY COVERAGE</t>
        </is>
      </c>
      <c r="E12" s="58" t="inlineStr">
        <is>
          <t>ACTION FRAMEWORK</t>
        </is>
      </c>
      <c r="F12" s="102" t="n"/>
      <c r="G12" s="102" t="n"/>
      <c r="H12" s="102" t="n"/>
      <c r="I12" s="102" t="n"/>
      <c r="J12" s="102" t="n"/>
      <c r="K12" s="102" t="n"/>
      <c r="L12" s="102" t="n"/>
    </row>
    <row r="13">
      <c r="A13" s="64" t="inlineStr">
        <is>
          <t>Track Rubin/server/HBM delivery windows against usable IT MW entering service.</t>
        </is>
      </c>
      <c r="E13" s="67" t="inlineStr">
        <is>
          <t>ACCUMULATE</t>
        </is>
      </c>
      <c r="F13" s="68" t="inlineStr">
        <is>
          <t>Power/generation and long-lead electrical/cooling commitments become irreversible while semis remain weak.</t>
        </is>
      </c>
    </row>
    <row r="14">
      <c r="A14" s="60" t="inlineStr">
        <is>
          <t>FAIL CONDITION</t>
        </is>
      </c>
      <c r="E14" s="67" t="inlineStr">
        <is>
          <t>ADD</t>
        </is>
      </c>
      <c r="F14" s="68" t="inlineStr">
        <is>
          <t>Silicon allocations / HBM / CoWoS / server orders confirm the physical build is converting to hardware.</t>
        </is>
      </c>
    </row>
    <row r="15">
      <c r="A15" s="66" t="inlineStr">
        <is>
          <t>POWER CLOCK SLIPS AGAIN</t>
        </is>
      </c>
      <c r="E15" s="67" t="inlineStr">
        <is>
          <t>STOP ADDING</t>
        </is>
      </c>
      <c r="F15" s="68" t="inlineStr">
        <is>
          <t>Sell score reaches 3: physical slippage + hardware acceleration are both visible.</t>
        </is>
      </c>
    </row>
    <row r="16">
      <c r="A16" s="64" t="inlineStr">
        <is>
          <t>If hardware schedule firms while CODs slip or grid interventions escalate, sell score should climb quickly.</t>
        </is>
      </c>
      <c r="E16" s="67" t="inlineStr">
        <is>
          <t>REDUCE</t>
        </is>
      </c>
      <c r="F16" s="68" t="inlineStr">
        <is>
          <t>Sell score reaches 4 or forward hardware/power coverage enters ORANGE.</t>
        </is>
      </c>
    </row>
    <row r="17">
      <c r="E17" s="67" t="inlineStr">
        <is>
          <t>EXIT / HEDGE</t>
        </is>
      </c>
      <c r="F17" s="68" t="inlineStr">
        <is>
          <t>Sell score reaches 5 or coverage is RED and a system-level constraint is confirmed.</t>
        </is>
      </c>
    </row>
    <row r="20">
      <c r="A20" s="58" t="inlineStr">
        <is>
          <t>LAST-CYCLE PROOF OF CONCEPT</t>
        </is>
      </c>
      <c r="B20" s="102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</row>
    <row r="21">
      <c r="A21" s="69" t="inlineStr">
        <is>
          <t>May 4</t>
        </is>
      </c>
      <c r="B21" s="69" t="inlineStr">
        <is>
          <t>JPM: &gt;60% of 2027 capacity not started; 7% delayed</t>
        </is>
      </c>
      <c r="I21" s="67" t="inlineStr">
        <is>
          <t>49 days before peak</t>
        </is>
      </c>
    </row>
    <row r="22">
      <c r="A22" s="69" t="inlineStr">
        <is>
          <t>May 5</t>
        </is>
      </c>
      <c r="B22" s="69" t="inlineStr">
        <is>
          <t>Eaton: 32 GW under construction vs 228 GW backlog</t>
        </is>
      </c>
      <c r="I22" s="67" t="inlineStr">
        <is>
          <t>48 days before peak</t>
        </is>
      </c>
    </row>
    <row r="23">
      <c r="A23" s="69" t="inlineStr">
        <is>
          <t>May 20</t>
        </is>
      </c>
      <c r="B23" s="69" t="inlineStr">
        <is>
          <t>NVIDIA: $75.2B Data Center revenue</t>
        </is>
      </c>
      <c r="I23" s="67" t="inlineStr">
        <is>
          <t>33 days before peak</t>
        </is>
      </c>
    </row>
    <row r="24">
      <c r="A24" s="69" t="inlineStr">
        <is>
          <t>May 28</t>
        </is>
      </c>
      <c r="B24" s="69" t="inlineStr">
        <is>
          <t>Dell: $24.4B AI orders / $16.1B revenue / $51.3B backlog</t>
        </is>
      </c>
      <c r="I24" s="67" t="inlineStr">
        <is>
          <t>25 days before peak</t>
        </is>
      </c>
    </row>
    <row r="25">
      <c r="A25" s="69" t="inlineStr">
        <is>
          <t>Jun 18</t>
        </is>
      </c>
      <c r="B25" s="69" t="inlineStr">
        <is>
          <t>FERC acts across all six RTO/ISOs on large-load integration</t>
        </is>
      </c>
      <c r="I25" s="67" t="inlineStr">
        <is>
          <t>4 days before peak</t>
        </is>
      </c>
    </row>
    <row r="26">
      <c r="A26" s="69" t="inlineStr">
        <is>
          <t>Jun 22</t>
        </is>
      </c>
      <c r="B26" s="69" t="inlineStr">
        <is>
          <t>SOXX closes 655.01; intraday high 655.95</t>
        </is>
      </c>
      <c r="I26" s="67" t="inlineStr">
        <is>
          <t>Peak</t>
        </is>
      </c>
    </row>
    <row r="29">
      <c r="A29" s="58" t="inlineStr">
        <is>
          <t>HOW TO UPDATE WEEKLY</t>
        </is>
      </c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</row>
    <row r="30">
      <c r="A30" s="68" t="inlineStr">
        <is>
          <t>1. Add any hardware delivery schedule with a credible start/end window to Hardware Deliveries. Do not use backlog dollars without a delivery clock.</t>
        </is>
      </c>
    </row>
    <row r="31">
      <c r="A31" s="68" t="inlineStr">
        <is>
          <t>2. Add any contracted generation / grid energization schedule to Power Deliveries. Use project-specific PUE / reserve assumptions when disclosed.</t>
        </is>
      </c>
    </row>
    <row r="32">
      <c r="A32" s="68" t="inlineStr">
        <is>
          <t>3. Coverage Calendar converts both into monthly IT MW and a forward 6-month hardware-to-power ratio.</t>
        </is>
      </c>
    </row>
    <row r="33">
      <c r="A33" s="68" t="inlineStr">
        <is>
          <t>4. Add independent sell-warning events to Sell Backtest. Repeated articles about the same underlying constraint do not add score.</t>
        </is>
      </c>
    </row>
    <row r="34">
      <c r="A34" s="68" t="inlineStr">
        <is>
          <t>5. The trade is symmetrical: buy when physical capital becomes irreversible before silicon revenue; sell when silicon delivery outruns power readiness.</t>
        </is>
      </c>
    </row>
  </sheetData>
  <mergeCells count="46">
    <mergeCell ref="E12:L12"/>
    <mergeCell ref="F13:L13"/>
    <mergeCell ref="F8:H8"/>
    <mergeCell ref="B24:H24"/>
    <mergeCell ref="A12:C12"/>
    <mergeCell ref="E5:L5"/>
    <mergeCell ref="A2:L2"/>
    <mergeCell ref="F14:L14"/>
    <mergeCell ref="B26:H26"/>
    <mergeCell ref="A5:C5"/>
    <mergeCell ref="A33:L33"/>
    <mergeCell ref="A8:C8"/>
    <mergeCell ref="A14:C14"/>
    <mergeCell ref="A32:L32"/>
    <mergeCell ref="F9:H9"/>
    <mergeCell ref="B25:H25"/>
    <mergeCell ref="F16:L16"/>
    <mergeCell ref="A4:L4"/>
    <mergeCell ref="A10:C10"/>
    <mergeCell ref="A20:L20"/>
    <mergeCell ref="B22:H22"/>
    <mergeCell ref="A13:C13"/>
    <mergeCell ref="A29:L29"/>
    <mergeCell ref="I26:L26"/>
    <mergeCell ref="B21:H21"/>
    <mergeCell ref="A9:C9"/>
    <mergeCell ref="A31:L31"/>
    <mergeCell ref="F15:L15"/>
    <mergeCell ref="A15:C15"/>
    <mergeCell ref="I25:L25"/>
    <mergeCell ref="A34:L34"/>
    <mergeCell ref="B23:H23"/>
    <mergeCell ref="I22:L22"/>
    <mergeCell ref="F10:H10"/>
    <mergeCell ref="A30:L30"/>
    <mergeCell ref="A11:C11"/>
    <mergeCell ref="F6:H6"/>
    <mergeCell ref="F17:L17"/>
    <mergeCell ref="I21:L21"/>
    <mergeCell ref="A1:L1"/>
    <mergeCell ref="A6:C6"/>
    <mergeCell ref="I24:L24"/>
    <mergeCell ref="F7:H7"/>
    <mergeCell ref="A7:C7"/>
    <mergeCell ref="A16:C16"/>
    <mergeCell ref="I23:L23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15" customHeight="1">
      <c r="A1" s="1" t="inlineStr">
        <is>
          <t>Physical → Silicon Timing Model</t>
        </is>
      </c>
    </row>
    <row r="2" ht="15" customHeight="1">
      <c r="A2" s="2" t="inlineStr">
        <is>
          <t>Goal: identify WHEN physical data-center infrastructure orders are far enough along to front-run chip orders, chip revenue and semiconductor equity re-ratings.</t>
        </is>
      </c>
    </row>
    <row r="3" ht="15" customHeight="1"/>
    <row r="4" ht="20" customHeight="1">
      <c r="A4" s="3" t="inlineStr">
        <is>
          <t>Preliminary result</t>
        </is>
      </c>
    </row>
    <row r="5" ht="15" customHeight="1">
      <c r="A5" s="4" t="inlineStr">
        <is>
          <t>Sample</t>
        </is>
      </c>
      <c r="B5" s="4" t="inlineStr">
        <is>
          <t>N</t>
        </is>
      </c>
      <c r="C5" s="4" t="inlineStr">
        <is>
          <t>Avg 3M SOXX</t>
        </is>
      </c>
      <c r="D5" s="4" t="inlineStr">
        <is>
          <t>Median 3M</t>
        </is>
      </c>
      <c r="E5" s="4" t="inlineStr">
        <is>
          <t>Avg 6M SOXX</t>
        </is>
      </c>
      <c r="F5" s="4" t="inlineStr">
        <is>
          <t>Avg lead to next &gt;=10% month</t>
        </is>
      </c>
      <c r="G5" s="5" t="n"/>
      <c r="H5" s="5" t="n"/>
      <c r="I5" s="5" t="n"/>
      <c r="J5" s="5" t="n"/>
    </row>
    <row r="6" ht="15" customHeight="1">
      <c r="A6" s="6">
        <f>'Event Study'!A6</f>
        <v/>
      </c>
      <c r="B6" s="6">
        <f>'Event Study'!B6</f>
        <v/>
      </c>
      <c r="C6" s="70">
        <f>'Event Study'!D6</f>
        <v/>
      </c>
      <c r="D6" s="70">
        <f>'Event Study'!E6</f>
        <v/>
      </c>
      <c r="E6" s="70">
        <f>'Event Study'!F6</f>
        <v/>
      </c>
      <c r="F6" s="71">
        <f>'Event Study'!H6</f>
        <v/>
      </c>
    </row>
    <row r="7" ht="15" customHeight="1">
      <c r="A7" s="6">
        <f>'Event Study'!A7</f>
        <v/>
      </c>
      <c r="B7" s="6">
        <f>'Event Study'!B7</f>
        <v/>
      </c>
      <c r="C7" s="70">
        <f>'Event Study'!D7</f>
        <v/>
      </c>
      <c r="D7" s="70">
        <f>'Event Study'!E7</f>
        <v/>
      </c>
      <c r="E7" s="70">
        <f>'Event Study'!F7</f>
        <v/>
      </c>
      <c r="F7" s="71">
        <f>'Event Study'!H7</f>
        <v/>
      </c>
    </row>
    <row r="8" ht="15" customHeight="1">
      <c r="A8" s="9">
        <f>'Event Study'!A8</f>
        <v/>
      </c>
      <c r="B8" s="10">
        <f>'Event Study'!B8</f>
        <v/>
      </c>
      <c r="C8" s="72">
        <f>'Event Study'!D8</f>
        <v/>
      </c>
      <c r="D8" s="72">
        <f>'Event Study'!E8</f>
        <v/>
      </c>
      <c r="E8" s="72">
        <f>'Event Study'!F8</f>
        <v/>
      </c>
      <c r="F8" s="73">
        <f>'Event Study'!H8</f>
        <v/>
      </c>
    </row>
    <row r="9" ht="15" customHeight="1">
      <c r="A9" s="6">
        <f>'Event Study'!A9</f>
        <v/>
      </c>
      <c r="B9" s="6">
        <f>'Event Study'!B9</f>
        <v/>
      </c>
      <c r="C9" s="70">
        <f>'Event Study'!D9</f>
        <v/>
      </c>
      <c r="D9" s="70">
        <f>'Event Study'!E9</f>
        <v/>
      </c>
      <c r="E9" s="70">
        <f>'Event Study'!F9</f>
        <v/>
      </c>
      <c r="F9" s="71">
        <f>'Event Study'!H9</f>
        <v/>
      </c>
    </row>
    <row r="10" ht="15" customHeight="1"/>
    <row r="11" ht="20" customHeight="1">
      <c r="A11" s="3" t="inlineStr">
        <is>
          <t>Working trading clock</t>
        </is>
      </c>
    </row>
    <row r="12" ht="30" customHeight="1">
      <c r="A12" s="13" t="inlineStr">
        <is>
          <t>1</t>
        </is>
      </c>
      <c r="B12" s="14" t="inlineStr">
        <is>
          <t>Power/generation contract becomes firm</t>
        </is>
      </c>
      <c r="E12" s="15" t="inlineStr">
        <is>
          <t>Earliest signal. Direct behind-the-meter orders can establish a hard delivery clock ~8–20+ months before power-on.</t>
        </is>
      </c>
    </row>
    <row r="13" ht="30" customHeight="1">
      <c r="A13" s="13" t="inlineStr">
        <is>
          <t>2</t>
        </is>
      </c>
      <c r="B13" s="14" t="inlineStr">
        <is>
          <t>Electrical/cooling orders accelerate</t>
        </is>
      </c>
      <c r="E13" s="15" t="inlineStr">
        <is>
          <t>Best preliminary public signal. In the Jul-2025–Feb-2026 sample, the next &gt;=10% SOXX month arrived about 2 months later on average.</t>
        </is>
      </c>
    </row>
    <row r="14" ht="30" customHeight="1">
      <c r="A14" s="13" t="inlineStr">
        <is>
          <t>3</t>
        </is>
      </c>
      <c r="B14" s="14" t="inlineStr">
        <is>
          <t>HBM / CoWoS / GPU allocation confirms</t>
        </is>
      </c>
      <c r="E14" s="15" t="inlineStr">
        <is>
          <t>Procurement can be 6–18 months ahead of deployment; useful confirmation, but semis may already be moving.</t>
        </is>
      </c>
    </row>
    <row r="15" ht="30" customHeight="1">
      <c r="A15" s="13" t="inlineStr">
        <is>
          <t>4</t>
        </is>
      </c>
      <c r="B15" s="14" t="inlineStr">
        <is>
          <t>Server backlog / shipments surge</t>
        </is>
      </c>
      <c r="E15" s="15" t="inlineStr">
        <is>
          <t>Late confirmation. Chip revenue is already being recognized or imminent.</t>
        </is>
      </c>
    </row>
    <row r="16" ht="30" customHeight="1">
      <c r="A16" s="13" t="inlineStr">
        <is>
          <t>5</t>
        </is>
      </c>
      <c r="B16" s="14" t="inlineStr">
        <is>
          <t>Compute goes live</t>
        </is>
      </c>
      <c r="E16" s="15" t="inlineStr">
        <is>
          <t>Too late for the entry signal; this is where the physical build begins monetizing.</t>
        </is>
      </c>
    </row>
    <row r="17" ht="15" customHeight="1"/>
    <row r="18" ht="15" customHeight="1"/>
    <row r="19" ht="20" customHeight="1">
      <c r="A19" s="3" t="inlineStr">
        <is>
          <t>What the backtest says — and does not say</t>
        </is>
      </c>
    </row>
    <row r="20" ht="38" customHeight="1">
      <c r="A20" s="16" t="inlineStr">
        <is>
          <t>Evidence</t>
        </is>
      </c>
      <c r="B20" s="15" t="inlineStr">
        <is>
          <t>The power-constrained 2025H2–2026 upstream sample shows much stronger 3M/6M SOXX forward returns than the 2023–24 demand-led sample. This is consistent with the thesis that physical capacity became the gating variable.</t>
        </is>
      </c>
    </row>
    <row r="21" ht="38" customHeight="1">
      <c r="A21" s="16" t="inlineStr">
        <is>
          <t>Best current signal</t>
        </is>
      </c>
      <c r="B21" s="15" t="inlineStr">
        <is>
          <t>Watch VRT/ETN/CAT/MEP order inflections and firm power-delivery commitments BEFORE Dell/server revenue and HBM/CoWoS confirmations become obvious.</t>
        </is>
      </c>
    </row>
    <row r="22" ht="38" customHeight="1">
      <c r="A22" s="17" t="inlineStr">
        <is>
          <t>Do not overread</t>
        </is>
      </c>
      <c r="B22" s="15" t="inlineStr">
        <is>
          <t>The sample is small and clustered. Multiple events reflect the same build cycle. The regime split is ex post. This is a countdown framework, not a proven factor model.</t>
        </is>
      </c>
    </row>
    <row r="23" ht="38" customHeight="1">
      <c r="A23" s="67" t="inlineStr">
        <is>
          <t>New: Dual Clock adds a sell-side hardware-vs-power constraint model and project-level delivery ledgers.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20">
    <mergeCell ref="A23:J23"/>
    <mergeCell ref="B14:D14"/>
    <mergeCell ref="E13:J13"/>
    <mergeCell ref="B23:J23"/>
    <mergeCell ref="B13:D13"/>
    <mergeCell ref="A4:J4"/>
    <mergeCell ref="A19:J19"/>
    <mergeCell ref="E15:J15"/>
    <mergeCell ref="B15:D15"/>
    <mergeCell ref="A11:J11"/>
    <mergeCell ref="A1:J1"/>
    <mergeCell ref="E16:J16"/>
    <mergeCell ref="B20:J20"/>
    <mergeCell ref="E12:J12"/>
    <mergeCell ref="B16:D16"/>
    <mergeCell ref="E14:J14"/>
    <mergeCell ref="B22:J22"/>
    <mergeCell ref="A2:J2"/>
    <mergeCell ref="B12:D12"/>
    <mergeCell ref="B21:J2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5" customWidth="1" min="5" max="5"/>
    <col width="18" customWidth="1" min="6" max="6"/>
    <col width="62" customWidth="1" min="7" max="7"/>
  </cols>
  <sheetData>
    <row r="1">
      <c r="A1" s="4" t="inlineStr">
        <is>
          <t>Month</t>
        </is>
      </c>
      <c r="B1" s="4" t="inlineStr">
        <is>
          <t>SOXX Close</t>
        </is>
      </c>
      <c r="C1" s="4" t="inlineStr">
        <is>
          <t>Monthly Return</t>
        </is>
      </c>
      <c r="D1" s="4" t="inlineStr">
        <is>
          <t>Strong Month &gt;=10%</t>
        </is>
      </c>
      <c r="E1" s="4" t="inlineStr">
        <is>
          <t>Upstream Events</t>
        </is>
      </c>
      <c r="F1" s="4" t="inlineStr">
        <is>
          <t>Bridge/Confirm Events</t>
        </is>
      </c>
      <c r="G1" s="4" t="inlineStr">
        <is>
          <t>Source URL</t>
        </is>
      </c>
    </row>
    <row r="2">
      <c r="A2" s="18" t="n">
        <v>44896</v>
      </c>
      <c r="B2" s="74" t="n">
        <v>113.26</v>
      </c>
      <c r="C2" s="6" t="inlineStr"/>
      <c r="D2" s="20">
        <f>IF(C2&gt;=10%,1,0)</f>
        <v/>
      </c>
      <c r="E2" s="20">
        <f>COUNTIFS('Supplier Signals'!$P$2:$P$100,A2,'Supplier Signals'!$F$2:$F$100,"Upstream physical")</f>
        <v/>
      </c>
      <c r="F2" s="20">
        <f>COUNTIFS('Supplier Signals'!$P$2:$P$100,A2,'Supplier Signals'!$F$2:$F$100,"&lt;&gt;Upstream physical")</f>
        <v/>
      </c>
      <c r="G2" s="21" t="inlineStr">
        <is>
          <t>https://www.statmuse.com/money/ask?q=soxx+returns+2011-2024</t>
        </is>
      </c>
    </row>
    <row r="3">
      <c r="A3" s="18" t="n">
        <v>44927</v>
      </c>
      <c r="B3" s="74" t="n">
        <v>131.39</v>
      </c>
      <c r="C3" s="75">
        <f>B3/B2-1</f>
        <v/>
      </c>
      <c r="D3" s="20">
        <f>IF(C3&gt;=10%,1,0)</f>
        <v/>
      </c>
      <c r="E3" s="20">
        <f>COUNTIFS('Supplier Signals'!$P$2:$P$100,A3,'Supplier Signals'!$F$2:$F$100,"Upstream physical")</f>
        <v/>
      </c>
      <c r="F3" s="20">
        <f>COUNTIFS('Supplier Signals'!$P$2:$P$100,A3,'Supplier Signals'!$F$2:$F$100,"&lt;&gt;Upstream physical")</f>
        <v/>
      </c>
      <c r="G3" s="21" t="inlineStr">
        <is>
          <t>https://www.statmuse.com/money/ask?q=soxx+returns+2011-2024</t>
        </is>
      </c>
    </row>
    <row r="4">
      <c r="A4" s="18" t="n">
        <v>44958</v>
      </c>
      <c r="B4" s="74" t="n">
        <v>133.39</v>
      </c>
      <c r="C4" s="75">
        <f>B4/B3-1</f>
        <v/>
      </c>
      <c r="D4" s="20">
        <f>IF(C4&gt;=10%,1,0)</f>
        <v/>
      </c>
      <c r="E4" s="20">
        <f>COUNTIFS('Supplier Signals'!$P$2:$P$100,A4,'Supplier Signals'!$F$2:$F$100,"Upstream physical")</f>
        <v/>
      </c>
      <c r="F4" s="20">
        <f>COUNTIFS('Supplier Signals'!$P$2:$P$100,A4,'Supplier Signals'!$F$2:$F$100,"&lt;&gt;Upstream physical")</f>
        <v/>
      </c>
      <c r="G4" s="21" t="inlineStr">
        <is>
          <t>https://www.statmuse.com/money/ask?q=soxx+returns+2011-2024</t>
        </is>
      </c>
    </row>
    <row r="5">
      <c r="A5" s="18" t="n">
        <v>44986</v>
      </c>
      <c r="B5" s="74" t="n">
        <v>145.1</v>
      </c>
      <c r="C5" s="75">
        <f>B5/B4-1</f>
        <v/>
      </c>
      <c r="D5" s="20">
        <f>IF(C5&gt;=10%,1,0)</f>
        <v/>
      </c>
      <c r="E5" s="20">
        <f>COUNTIFS('Supplier Signals'!$P$2:$P$100,A5,'Supplier Signals'!$F$2:$F$100,"Upstream physical")</f>
        <v/>
      </c>
      <c r="F5" s="20">
        <f>COUNTIFS('Supplier Signals'!$P$2:$P$100,A5,'Supplier Signals'!$F$2:$F$100,"&lt;&gt;Upstream physical")</f>
        <v/>
      </c>
      <c r="G5" s="21" t="inlineStr">
        <is>
          <t>https://www.statmuse.com/money/ask?q=soxx+returns+2011-2024</t>
        </is>
      </c>
    </row>
    <row r="6">
      <c r="A6" s="18" t="n">
        <v>45017</v>
      </c>
      <c r="B6" s="74" t="n">
        <v>134.48</v>
      </c>
      <c r="C6" s="75">
        <f>B6/B5-1</f>
        <v/>
      </c>
      <c r="D6" s="20">
        <f>IF(C6&gt;=10%,1,0)</f>
        <v/>
      </c>
      <c r="E6" s="20">
        <f>COUNTIFS('Supplier Signals'!$P$2:$P$100,A6,'Supplier Signals'!$F$2:$F$100,"Upstream physical")</f>
        <v/>
      </c>
      <c r="F6" s="20">
        <f>COUNTIFS('Supplier Signals'!$P$2:$P$100,A6,'Supplier Signals'!$F$2:$F$100,"&lt;&gt;Upstream physical")</f>
        <v/>
      </c>
      <c r="G6" s="21" t="inlineStr">
        <is>
          <t>https://www.statmuse.com/money/ask?q=soxx+returns+2011-2024</t>
        </is>
      </c>
    </row>
    <row r="7">
      <c r="A7" s="18" t="n">
        <v>45047</v>
      </c>
      <c r="B7" s="74" t="n">
        <v>155.55</v>
      </c>
      <c r="C7" s="75">
        <f>B7/B6-1</f>
        <v/>
      </c>
      <c r="D7" s="20">
        <f>IF(C7&gt;=10%,1,0)</f>
        <v/>
      </c>
      <c r="E7" s="20">
        <f>COUNTIFS('Supplier Signals'!$P$2:$P$100,A7,'Supplier Signals'!$F$2:$F$100,"Upstream physical")</f>
        <v/>
      </c>
      <c r="F7" s="20">
        <f>COUNTIFS('Supplier Signals'!$P$2:$P$100,A7,'Supplier Signals'!$F$2:$F$100,"&lt;&gt;Upstream physical")</f>
        <v/>
      </c>
      <c r="G7" s="21" t="inlineStr">
        <is>
          <t>https://www.statmuse.com/money/ask?q=soxx+returns+2011-2024</t>
        </is>
      </c>
    </row>
    <row r="8">
      <c r="A8" s="18" t="n">
        <v>45078</v>
      </c>
      <c r="B8" s="74" t="n">
        <v>165.75</v>
      </c>
      <c r="C8" s="75">
        <f>B8/B7-1</f>
        <v/>
      </c>
      <c r="D8" s="20">
        <f>IF(C8&gt;=10%,1,0)</f>
        <v/>
      </c>
      <c r="E8" s="20">
        <f>COUNTIFS('Supplier Signals'!$P$2:$P$100,A8,'Supplier Signals'!$F$2:$F$100,"Upstream physical")</f>
        <v/>
      </c>
      <c r="F8" s="20">
        <f>COUNTIFS('Supplier Signals'!$P$2:$P$100,A8,'Supplier Signals'!$F$2:$F$100,"&lt;&gt;Upstream physical")</f>
        <v/>
      </c>
      <c r="G8" s="21" t="inlineStr">
        <is>
          <t>https://www.statmuse.com/money/ask?q=soxx+returns+2011-2024</t>
        </is>
      </c>
    </row>
    <row r="9">
      <c r="A9" s="18" t="n">
        <v>45108</v>
      </c>
      <c r="B9" s="74" t="n">
        <v>174.91</v>
      </c>
      <c r="C9" s="75">
        <f>B9/B8-1</f>
        <v/>
      </c>
      <c r="D9" s="20">
        <f>IF(C9&gt;=10%,1,0)</f>
        <v/>
      </c>
      <c r="E9" s="20">
        <f>COUNTIFS('Supplier Signals'!$P$2:$P$100,A9,'Supplier Signals'!$F$2:$F$100,"Upstream physical")</f>
        <v/>
      </c>
      <c r="F9" s="20">
        <f>COUNTIFS('Supplier Signals'!$P$2:$P$100,A9,'Supplier Signals'!$F$2:$F$100,"&lt;&gt;Upstream physical")</f>
        <v/>
      </c>
      <c r="G9" s="21" t="inlineStr">
        <is>
          <t>https://www.statmuse.com/money/ask?q=soxx+returns+2011-2024</t>
        </is>
      </c>
    </row>
    <row r="10">
      <c r="A10" s="18" t="n">
        <v>45139</v>
      </c>
      <c r="B10" s="74" t="n">
        <v>166.86</v>
      </c>
      <c r="C10" s="75">
        <f>B10/B9-1</f>
        <v/>
      </c>
      <c r="D10" s="20">
        <f>IF(C10&gt;=10%,1,0)</f>
        <v/>
      </c>
      <c r="E10" s="20">
        <f>COUNTIFS('Supplier Signals'!$P$2:$P$100,A10,'Supplier Signals'!$F$2:$F$100,"Upstream physical")</f>
        <v/>
      </c>
      <c r="F10" s="20">
        <f>COUNTIFS('Supplier Signals'!$P$2:$P$100,A10,'Supplier Signals'!$F$2:$F$100,"&lt;&gt;Upstream physical")</f>
        <v/>
      </c>
      <c r="G10" s="21" t="inlineStr">
        <is>
          <t>https://www.statmuse.com/money/ask?q=soxx+returns+2011-2024</t>
        </is>
      </c>
    </row>
    <row r="11">
      <c r="A11" s="18" t="n">
        <v>45170</v>
      </c>
      <c r="B11" s="74" t="n">
        <v>155.32</v>
      </c>
      <c r="C11" s="75">
        <f>B11/B10-1</f>
        <v/>
      </c>
      <c r="D11" s="20">
        <f>IF(C11&gt;=10%,1,0)</f>
        <v/>
      </c>
      <c r="E11" s="20">
        <f>COUNTIFS('Supplier Signals'!$P$2:$P$100,A11,'Supplier Signals'!$F$2:$F$100,"Upstream physical")</f>
        <v/>
      </c>
      <c r="F11" s="20">
        <f>COUNTIFS('Supplier Signals'!$P$2:$P$100,A11,'Supplier Signals'!$F$2:$F$100,"&lt;&gt;Upstream physical")</f>
        <v/>
      </c>
      <c r="G11" s="21" t="inlineStr">
        <is>
          <t>https://www.statmuse.com/money/ask?q=soxx+returns+2011-2024</t>
        </is>
      </c>
    </row>
    <row r="12">
      <c r="A12" s="18" t="n">
        <v>45200</v>
      </c>
      <c r="B12" s="74" t="n">
        <v>145.07</v>
      </c>
      <c r="C12" s="75">
        <f>B12/B11-1</f>
        <v/>
      </c>
      <c r="D12" s="20">
        <f>IF(C12&gt;=10%,1,0)</f>
        <v/>
      </c>
      <c r="E12" s="20">
        <f>COUNTIFS('Supplier Signals'!$P$2:$P$100,A12,'Supplier Signals'!$F$2:$F$100,"Upstream physical")</f>
        <v/>
      </c>
      <c r="F12" s="20">
        <f>COUNTIFS('Supplier Signals'!$P$2:$P$100,A12,'Supplier Signals'!$F$2:$F$100,"&lt;&gt;Upstream physical")</f>
        <v/>
      </c>
      <c r="G12" s="21" t="inlineStr">
        <is>
          <t>https://www.statmuse.com/money/ask?q=soxx+returns+2011-2024</t>
        </is>
      </c>
    </row>
    <row r="13">
      <c r="A13" s="18" t="n">
        <v>45231</v>
      </c>
      <c r="B13" s="74" t="n">
        <v>168.43</v>
      </c>
      <c r="C13" s="75">
        <f>B13/B12-1</f>
        <v/>
      </c>
      <c r="D13" s="20">
        <f>IF(C13&gt;=10%,1,0)</f>
        <v/>
      </c>
      <c r="E13" s="20">
        <f>COUNTIFS('Supplier Signals'!$P$2:$P$100,A13,'Supplier Signals'!$F$2:$F$100,"Upstream physical")</f>
        <v/>
      </c>
      <c r="F13" s="20">
        <f>COUNTIFS('Supplier Signals'!$P$2:$P$100,A13,'Supplier Signals'!$F$2:$F$100,"&lt;&gt;Upstream physical")</f>
        <v/>
      </c>
      <c r="G13" s="21" t="inlineStr">
        <is>
          <t>https://www.statmuse.com/money/ask?q=soxx+returns+2011-2024</t>
        </is>
      </c>
    </row>
    <row r="14">
      <c r="A14" s="18" t="n">
        <v>45261</v>
      </c>
      <c r="B14" s="74" t="n">
        <v>189.28</v>
      </c>
      <c r="C14" s="75">
        <f>B14/B13-1</f>
        <v/>
      </c>
      <c r="D14" s="20">
        <f>IF(C14&gt;=10%,1,0)</f>
        <v/>
      </c>
      <c r="E14" s="20">
        <f>COUNTIFS('Supplier Signals'!$P$2:$P$100,A14,'Supplier Signals'!$F$2:$F$100,"Upstream physical")</f>
        <v/>
      </c>
      <c r="F14" s="20">
        <f>COUNTIFS('Supplier Signals'!$P$2:$P$100,A14,'Supplier Signals'!$F$2:$F$100,"&lt;&gt;Upstream physical")</f>
        <v/>
      </c>
      <c r="G14" s="21" t="inlineStr">
        <is>
          <t>https://www.statmuse.com/money/ask?q=soxx+returns+2011-2024</t>
        </is>
      </c>
    </row>
    <row r="15">
      <c r="A15" s="18" t="n">
        <v>45292</v>
      </c>
      <c r="B15" s="74" t="n">
        <v>192.55</v>
      </c>
      <c r="C15" s="75">
        <f>B15/B14-1</f>
        <v/>
      </c>
      <c r="D15" s="20">
        <f>IF(C15&gt;=10%,1,0)</f>
        <v/>
      </c>
      <c r="E15" s="20">
        <f>COUNTIFS('Supplier Signals'!$P$2:$P$100,A15,'Supplier Signals'!$F$2:$F$100,"Upstream physical")</f>
        <v/>
      </c>
      <c r="F15" s="20">
        <f>COUNTIFS('Supplier Signals'!$P$2:$P$100,A15,'Supplier Signals'!$F$2:$F$100,"&lt;&gt;Upstream physical")</f>
        <v/>
      </c>
      <c r="G15" s="21" t="inlineStr">
        <is>
          <t>https://www.statmuse.com/money/ask?q=soxx+returns+2011-2024</t>
        </is>
      </c>
    </row>
    <row r="16">
      <c r="A16" s="18" t="n">
        <v>45323</v>
      </c>
      <c r="B16" s="74" t="n">
        <v>214.25</v>
      </c>
      <c r="C16" s="75">
        <f>B16/B15-1</f>
        <v/>
      </c>
      <c r="D16" s="20">
        <f>IF(C16&gt;=10%,1,0)</f>
        <v/>
      </c>
      <c r="E16" s="20">
        <f>COUNTIFS('Supplier Signals'!$P$2:$P$100,A16,'Supplier Signals'!$F$2:$F$100,"Upstream physical")</f>
        <v/>
      </c>
      <c r="F16" s="20">
        <f>COUNTIFS('Supplier Signals'!$P$2:$P$100,A16,'Supplier Signals'!$F$2:$F$100,"&lt;&gt;Upstream physical")</f>
        <v/>
      </c>
      <c r="G16" s="21" t="inlineStr">
        <is>
          <t>https://www.statmuse.com/money/ask?q=soxx+returns+2011-2024</t>
        </is>
      </c>
    </row>
    <row r="17">
      <c r="A17" s="18" t="n">
        <v>45352</v>
      </c>
      <c r="B17" s="74" t="n">
        <v>222.91</v>
      </c>
      <c r="C17" s="75">
        <f>B17/B16-1</f>
        <v/>
      </c>
      <c r="D17" s="20">
        <f>IF(C17&gt;=10%,1,0)</f>
        <v/>
      </c>
      <c r="E17" s="20">
        <f>COUNTIFS('Supplier Signals'!$P$2:$P$100,A17,'Supplier Signals'!$F$2:$F$100,"Upstream physical")</f>
        <v/>
      </c>
      <c r="F17" s="20">
        <f>COUNTIFS('Supplier Signals'!$P$2:$P$100,A17,'Supplier Signals'!$F$2:$F$100,"&lt;&gt;Upstream physical")</f>
        <v/>
      </c>
      <c r="G17" s="21" t="inlineStr">
        <is>
          <t>https://www.statmuse.com/money/ask?q=soxx+returns+2011-2024</t>
        </is>
      </c>
    </row>
    <row r="18">
      <c r="A18" s="18" t="n">
        <v>45383</v>
      </c>
      <c r="B18" s="74" t="n">
        <v>211.14</v>
      </c>
      <c r="C18" s="75">
        <f>B18/B17-1</f>
        <v/>
      </c>
      <c r="D18" s="20">
        <f>IF(C18&gt;=10%,1,0)</f>
        <v/>
      </c>
      <c r="E18" s="20">
        <f>COUNTIFS('Supplier Signals'!$P$2:$P$100,A18,'Supplier Signals'!$F$2:$F$100,"Upstream physical")</f>
        <v/>
      </c>
      <c r="F18" s="20">
        <f>COUNTIFS('Supplier Signals'!$P$2:$P$100,A18,'Supplier Signals'!$F$2:$F$100,"&lt;&gt;Upstream physical")</f>
        <v/>
      </c>
      <c r="G18" s="21" t="inlineStr">
        <is>
          <t>https://www.statmuse.com/money/ask?q=soxx+returns+2011-2024</t>
        </is>
      </c>
    </row>
    <row r="19">
      <c r="A19" s="18" t="n">
        <v>45413</v>
      </c>
      <c r="B19" s="74" t="n">
        <v>230.89</v>
      </c>
      <c r="C19" s="75">
        <f>B19/B18-1</f>
        <v/>
      </c>
      <c r="D19" s="20">
        <f>IF(C19&gt;=10%,1,0)</f>
        <v/>
      </c>
      <c r="E19" s="20">
        <f>COUNTIFS('Supplier Signals'!$P$2:$P$100,A19,'Supplier Signals'!$F$2:$F$100,"Upstream physical")</f>
        <v/>
      </c>
      <c r="F19" s="20">
        <f>COUNTIFS('Supplier Signals'!$P$2:$P$100,A19,'Supplier Signals'!$F$2:$F$100,"&lt;&gt;Upstream physical")</f>
        <v/>
      </c>
      <c r="G19" s="21" t="inlineStr">
        <is>
          <t>https://www.statmuse.com/money/ask?q=soxx+returns+2011-2024</t>
        </is>
      </c>
    </row>
    <row r="20">
      <c r="A20" s="18" t="n">
        <v>45444</v>
      </c>
      <c r="B20" s="74" t="n">
        <v>243.66</v>
      </c>
      <c r="C20" s="75">
        <f>B20/B19-1</f>
        <v/>
      </c>
      <c r="D20" s="20">
        <f>IF(C20&gt;=10%,1,0)</f>
        <v/>
      </c>
      <c r="E20" s="20">
        <f>COUNTIFS('Supplier Signals'!$P$2:$P$100,A20,'Supplier Signals'!$F$2:$F$100,"Upstream physical")</f>
        <v/>
      </c>
      <c r="F20" s="20">
        <f>COUNTIFS('Supplier Signals'!$P$2:$P$100,A20,'Supplier Signals'!$F$2:$F$100,"&lt;&gt;Upstream physical")</f>
        <v/>
      </c>
      <c r="G20" s="21" t="inlineStr">
        <is>
          <t>https://www.statmuse.com/money/ask?q=soxx+returns+2011-2024</t>
        </is>
      </c>
    </row>
    <row r="21">
      <c r="A21" s="18" t="n">
        <v>45474</v>
      </c>
      <c r="B21" s="74" t="n">
        <v>232.54</v>
      </c>
      <c r="C21" s="75">
        <f>B21/B20-1</f>
        <v/>
      </c>
      <c r="D21" s="20">
        <f>IF(C21&gt;=10%,1,0)</f>
        <v/>
      </c>
      <c r="E21" s="20">
        <f>COUNTIFS('Supplier Signals'!$P$2:$P$100,A21,'Supplier Signals'!$F$2:$F$100,"Upstream physical")</f>
        <v/>
      </c>
      <c r="F21" s="20">
        <f>COUNTIFS('Supplier Signals'!$P$2:$P$100,A21,'Supplier Signals'!$F$2:$F$100,"&lt;&gt;Upstream physical")</f>
        <v/>
      </c>
      <c r="G21" s="21" t="inlineStr">
        <is>
          <t>https://www.statmuse.com/money/ask?q=soxx+returns+2011-2024</t>
        </is>
      </c>
    </row>
    <row r="22">
      <c r="A22" s="18" t="n">
        <v>45505</v>
      </c>
      <c r="B22" s="74" t="n">
        <v>228.35</v>
      </c>
      <c r="C22" s="75">
        <f>B22/B21-1</f>
        <v/>
      </c>
      <c r="D22" s="20">
        <f>IF(C22&gt;=10%,1,0)</f>
        <v/>
      </c>
      <c r="E22" s="20">
        <f>COUNTIFS('Supplier Signals'!$P$2:$P$100,A22,'Supplier Signals'!$F$2:$F$100,"Upstream physical")</f>
        <v/>
      </c>
      <c r="F22" s="20">
        <f>COUNTIFS('Supplier Signals'!$P$2:$P$100,A22,'Supplier Signals'!$F$2:$F$100,"&lt;&gt;Upstream physical")</f>
        <v/>
      </c>
      <c r="G22" s="21" t="inlineStr">
        <is>
          <t>https://www.statmuse.com/money/ask?q=soxx+returns+2011-2024</t>
        </is>
      </c>
    </row>
    <row r="23">
      <c r="A23" s="18" t="n">
        <v>45536</v>
      </c>
      <c r="B23" s="74" t="n">
        <v>228.36</v>
      </c>
      <c r="C23" s="75">
        <f>B23/B22-1</f>
        <v/>
      </c>
      <c r="D23" s="20">
        <f>IF(C23&gt;=10%,1,0)</f>
        <v/>
      </c>
      <c r="E23" s="20">
        <f>COUNTIFS('Supplier Signals'!$P$2:$P$100,A23,'Supplier Signals'!$F$2:$F$100,"Upstream physical")</f>
        <v/>
      </c>
      <c r="F23" s="20">
        <f>COUNTIFS('Supplier Signals'!$P$2:$P$100,A23,'Supplier Signals'!$F$2:$F$100,"&lt;&gt;Upstream physical")</f>
        <v/>
      </c>
      <c r="G23" s="21" t="inlineStr">
        <is>
          <t>https://www.statmuse.com/money/ask?q=soxx+returns+2011-2024</t>
        </is>
      </c>
    </row>
    <row r="24">
      <c r="A24" s="18" t="n">
        <v>45566</v>
      </c>
      <c r="B24" s="74" t="n">
        <v>216.15</v>
      </c>
      <c r="C24" s="75">
        <f>B24/B23-1</f>
        <v/>
      </c>
      <c r="D24" s="20">
        <f>IF(C24&gt;=10%,1,0)</f>
        <v/>
      </c>
      <c r="E24" s="20">
        <f>COUNTIFS('Supplier Signals'!$P$2:$P$100,A24,'Supplier Signals'!$F$2:$F$100,"Upstream physical")</f>
        <v/>
      </c>
      <c r="F24" s="20">
        <f>COUNTIFS('Supplier Signals'!$P$2:$P$100,A24,'Supplier Signals'!$F$2:$F$100,"&lt;&gt;Upstream physical")</f>
        <v/>
      </c>
      <c r="G24" s="21" t="inlineStr">
        <is>
          <t>https://www.statmuse.com/money/ask?q=soxx+returns+2011-2024</t>
        </is>
      </c>
    </row>
    <row r="25">
      <c r="A25" s="18" t="n">
        <v>45597</v>
      </c>
      <c r="B25" s="74" t="n">
        <v>213.32</v>
      </c>
      <c r="C25" s="75">
        <f>B25/B24-1</f>
        <v/>
      </c>
      <c r="D25" s="20">
        <f>IF(C25&gt;=10%,1,0)</f>
        <v/>
      </c>
      <c r="E25" s="20">
        <f>COUNTIFS('Supplier Signals'!$P$2:$P$100,A25,'Supplier Signals'!$F$2:$F$100,"Upstream physical")</f>
        <v/>
      </c>
      <c r="F25" s="20">
        <f>COUNTIFS('Supplier Signals'!$P$2:$P$100,A25,'Supplier Signals'!$F$2:$F$100,"&lt;&gt;Upstream physical")</f>
        <v/>
      </c>
      <c r="G25" s="21" t="inlineStr">
        <is>
          <t>https://www.statmuse.com/money/ask?q=soxx+returns+2011-2024</t>
        </is>
      </c>
    </row>
    <row r="26">
      <c r="A26" s="18" t="n">
        <v>45627</v>
      </c>
      <c r="B26" s="74" t="n">
        <v>213.75</v>
      </c>
      <c r="C26" s="75">
        <f>B26/B25-1</f>
        <v/>
      </c>
      <c r="D26" s="20">
        <f>IF(C26&gt;=10%,1,0)</f>
        <v/>
      </c>
      <c r="E26" s="20">
        <f>COUNTIFS('Supplier Signals'!$P$2:$P$100,A26,'Supplier Signals'!$F$2:$F$100,"Upstream physical")</f>
        <v/>
      </c>
      <c r="F26" s="20">
        <f>COUNTIFS('Supplier Signals'!$P$2:$P$100,A26,'Supplier Signals'!$F$2:$F$100,"&lt;&gt;Upstream physical")</f>
        <v/>
      </c>
      <c r="G26" s="21" t="inlineStr">
        <is>
          <t>https://www.statmuse.com/money/ask/soxx-return-from-2020-to-2025</t>
        </is>
      </c>
    </row>
    <row r="27">
      <c r="A27" s="18" t="n">
        <v>45658</v>
      </c>
      <c r="B27" s="74" t="n">
        <v>216.37</v>
      </c>
      <c r="C27" s="75">
        <f>B27/B26-1</f>
        <v/>
      </c>
      <c r="D27" s="20">
        <f>IF(C27&gt;=10%,1,0)</f>
        <v/>
      </c>
      <c r="E27" s="20">
        <f>COUNTIFS('Supplier Signals'!$P$2:$P$100,A27,'Supplier Signals'!$F$2:$F$100,"Upstream physical")</f>
        <v/>
      </c>
      <c r="F27" s="20">
        <f>COUNTIFS('Supplier Signals'!$P$2:$P$100,A27,'Supplier Signals'!$F$2:$F$100,"&lt;&gt;Upstream physical")</f>
        <v/>
      </c>
      <c r="G27" s="21" t="inlineStr">
        <is>
          <t>https://www.statmuse.com/money/ask/soxx-return-from-2020-to-2025</t>
        </is>
      </c>
    </row>
    <row r="28">
      <c r="A28" s="18" t="n">
        <v>45689</v>
      </c>
      <c r="B28" s="74" t="n">
        <v>206.83</v>
      </c>
      <c r="C28" s="75">
        <f>B28/B27-1</f>
        <v/>
      </c>
      <c r="D28" s="20">
        <f>IF(C28&gt;=10%,1,0)</f>
        <v/>
      </c>
      <c r="E28" s="20">
        <f>COUNTIFS('Supplier Signals'!$P$2:$P$100,A28,'Supplier Signals'!$F$2:$F$100,"Upstream physical")</f>
        <v/>
      </c>
      <c r="F28" s="20">
        <f>COUNTIFS('Supplier Signals'!$P$2:$P$100,A28,'Supplier Signals'!$F$2:$F$100,"&lt;&gt;Upstream physical")</f>
        <v/>
      </c>
      <c r="G28" s="21" t="inlineStr">
        <is>
          <t>https://www.statmuse.com/money/ask/soxx-return-from-2020-to-2025</t>
        </is>
      </c>
    </row>
    <row r="29">
      <c r="A29" s="18" t="n">
        <v>45717</v>
      </c>
      <c r="B29" s="74" t="n">
        <v>186.89</v>
      </c>
      <c r="C29" s="75">
        <f>B29/B28-1</f>
        <v/>
      </c>
      <c r="D29" s="20">
        <f>IF(C29&gt;=10%,1,0)</f>
        <v/>
      </c>
      <c r="E29" s="20">
        <f>COUNTIFS('Supplier Signals'!$P$2:$P$100,A29,'Supplier Signals'!$F$2:$F$100,"Upstream physical")</f>
        <v/>
      </c>
      <c r="F29" s="20">
        <f>COUNTIFS('Supplier Signals'!$P$2:$P$100,A29,'Supplier Signals'!$F$2:$F$100,"&lt;&gt;Upstream physical")</f>
        <v/>
      </c>
      <c r="G29" s="21" t="inlineStr">
        <is>
          <t>https://www.statmuse.com/money/ask/soxx-return-from-2020-to-2025</t>
        </is>
      </c>
    </row>
    <row r="30">
      <c r="A30" s="18" t="n">
        <v>45748</v>
      </c>
      <c r="B30" s="74" t="n">
        <v>182.59</v>
      </c>
      <c r="C30" s="75">
        <f>B30/B29-1</f>
        <v/>
      </c>
      <c r="D30" s="20">
        <f>IF(C30&gt;=10%,1,0)</f>
        <v/>
      </c>
      <c r="E30" s="20">
        <f>COUNTIFS('Supplier Signals'!$P$2:$P$100,A30,'Supplier Signals'!$F$2:$F$100,"Upstream physical")</f>
        <v/>
      </c>
      <c r="F30" s="20">
        <f>COUNTIFS('Supplier Signals'!$P$2:$P$100,A30,'Supplier Signals'!$F$2:$F$100,"&lt;&gt;Upstream physical")</f>
        <v/>
      </c>
      <c r="G30" s="21" t="inlineStr">
        <is>
          <t>https://www.statmuse.com/money/ask/soxx-return-from-2020-to-2025</t>
        </is>
      </c>
    </row>
    <row r="31">
      <c r="A31" s="18" t="n">
        <v>45778</v>
      </c>
      <c r="B31" s="74" t="n">
        <v>203.54</v>
      </c>
      <c r="C31" s="75">
        <f>B31/B30-1</f>
        <v/>
      </c>
      <c r="D31" s="20">
        <f>IF(C31&gt;=10%,1,0)</f>
        <v/>
      </c>
      <c r="E31" s="20">
        <f>COUNTIFS('Supplier Signals'!$P$2:$P$100,A31,'Supplier Signals'!$F$2:$F$100,"Upstream physical")</f>
        <v/>
      </c>
      <c r="F31" s="20">
        <f>COUNTIFS('Supplier Signals'!$P$2:$P$100,A31,'Supplier Signals'!$F$2:$F$100,"&lt;&gt;Upstream physical")</f>
        <v/>
      </c>
      <c r="G31" s="21" t="inlineStr">
        <is>
          <t>https://www.statmuse.com/money/ask/soxx-return-from-2020-to-2025</t>
        </is>
      </c>
    </row>
    <row r="32">
      <c r="A32" s="18" t="n">
        <v>45809</v>
      </c>
      <c r="B32" s="74" t="n">
        <v>237.59</v>
      </c>
      <c r="C32" s="75">
        <f>B32/B31-1</f>
        <v/>
      </c>
      <c r="D32" s="20">
        <f>IF(C32&gt;=10%,1,0)</f>
        <v/>
      </c>
      <c r="E32" s="20">
        <f>COUNTIFS('Supplier Signals'!$P$2:$P$100,A32,'Supplier Signals'!$F$2:$F$100,"Upstream physical")</f>
        <v/>
      </c>
      <c r="F32" s="20">
        <f>COUNTIFS('Supplier Signals'!$P$2:$P$100,A32,'Supplier Signals'!$F$2:$F$100,"&lt;&gt;Upstream physical")</f>
        <v/>
      </c>
      <c r="G32" s="21" t="inlineStr">
        <is>
          <t>https://www.statmuse.com/money/ask/soxx-return-from-2020-to-2025</t>
        </is>
      </c>
    </row>
    <row r="33">
      <c r="A33" s="18" t="n">
        <v>45839</v>
      </c>
      <c r="B33" s="74" t="n">
        <v>238.92</v>
      </c>
      <c r="C33" s="75">
        <f>B33/B32-1</f>
        <v/>
      </c>
      <c r="D33" s="20">
        <f>IF(C33&gt;=10%,1,0)</f>
        <v/>
      </c>
      <c r="E33" s="20">
        <f>COUNTIFS('Supplier Signals'!$P$2:$P$100,A33,'Supplier Signals'!$F$2:$F$100,"Upstream physical")</f>
        <v/>
      </c>
      <c r="F33" s="20">
        <f>COUNTIFS('Supplier Signals'!$P$2:$P$100,A33,'Supplier Signals'!$F$2:$F$100,"&lt;&gt;Upstream physical")</f>
        <v/>
      </c>
      <c r="G33" s="21" t="inlineStr">
        <is>
          <t>https://www.statmuse.com/money/ask/soxx-return-from-2020-to-2025</t>
        </is>
      </c>
    </row>
    <row r="34">
      <c r="A34" s="18" t="n">
        <v>45870</v>
      </c>
      <c r="B34" s="74" t="n">
        <v>244.18</v>
      </c>
      <c r="C34" s="75">
        <f>B34/B33-1</f>
        <v/>
      </c>
      <c r="D34" s="20">
        <f>IF(C34&gt;=10%,1,0)</f>
        <v/>
      </c>
      <c r="E34" s="20">
        <f>COUNTIFS('Supplier Signals'!$P$2:$P$100,A34,'Supplier Signals'!$F$2:$F$100,"Upstream physical")</f>
        <v/>
      </c>
      <c r="F34" s="20">
        <f>COUNTIFS('Supplier Signals'!$P$2:$P$100,A34,'Supplier Signals'!$F$2:$F$100,"&lt;&gt;Upstream physical")</f>
        <v/>
      </c>
      <c r="G34" s="21" t="inlineStr">
        <is>
          <t>https://www.statmuse.com/money/ask/soxx-return-from-2020-to-2025</t>
        </is>
      </c>
    </row>
    <row r="35">
      <c r="A35" s="18" t="n">
        <v>45901</v>
      </c>
      <c r="B35" s="74" t="n">
        <v>270.43</v>
      </c>
      <c r="C35" s="75">
        <f>B35/B34-1</f>
        <v/>
      </c>
      <c r="D35" s="20">
        <f>IF(C35&gt;=10%,1,0)</f>
        <v/>
      </c>
      <c r="E35" s="20">
        <f>COUNTIFS('Supplier Signals'!$P$2:$P$100,A35,'Supplier Signals'!$F$2:$F$100,"Upstream physical")</f>
        <v/>
      </c>
      <c r="F35" s="20">
        <f>COUNTIFS('Supplier Signals'!$P$2:$P$100,A35,'Supplier Signals'!$F$2:$F$100,"&lt;&gt;Upstream physical")</f>
        <v/>
      </c>
      <c r="G35" s="21" t="inlineStr">
        <is>
          <t>https://www.statmuse.com/money/ask/soxx-return-from-2020-to-2025</t>
        </is>
      </c>
    </row>
    <row r="36">
      <c r="A36" s="18" t="n">
        <v>45931</v>
      </c>
      <c r="B36" s="74" t="n">
        <v>305.77</v>
      </c>
      <c r="C36" s="75">
        <f>B36/B35-1</f>
        <v/>
      </c>
      <c r="D36" s="20">
        <f>IF(C36&gt;=10%,1,0)</f>
        <v/>
      </c>
      <c r="E36" s="20">
        <f>COUNTIFS('Supplier Signals'!$P$2:$P$100,A36,'Supplier Signals'!$F$2:$F$100,"Upstream physical")</f>
        <v/>
      </c>
      <c r="F36" s="20">
        <f>COUNTIFS('Supplier Signals'!$P$2:$P$100,A36,'Supplier Signals'!$F$2:$F$100,"&lt;&gt;Upstream physical")</f>
        <v/>
      </c>
      <c r="G36" s="21" t="inlineStr">
        <is>
          <t>https://www.statmuse.com/money/ask/soxx-return-from-2020-to-2025</t>
        </is>
      </c>
    </row>
    <row r="37">
      <c r="A37" s="18" t="n">
        <v>45962</v>
      </c>
      <c r="B37" s="74" t="n">
        <v>295.98</v>
      </c>
      <c r="C37" s="75">
        <f>B37/B36-1</f>
        <v/>
      </c>
      <c r="D37" s="20">
        <f>IF(C37&gt;=10%,1,0)</f>
        <v/>
      </c>
      <c r="E37" s="20">
        <f>COUNTIFS('Supplier Signals'!$P$2:$P$100,A37,'Supplier Signals'!$F$2:$F$100,"Upstream physical")</f>
        <v/>
      </c>
      <c r="F37" s="20">
        <f>COUNTIFS('Supplier Signals'!$P$2:$P$100,A37,'Supplier Signals'!$F$2:$F$100,"&lt;&gt;Upstream physical")</f>
        <v/>
      </c>
      <c r="G37" s="21" t="inlineStr">
        <is>
          <t>https://www.statmuse.com/money/ask/soxx-return-from-2020-to-2025</t>
        </is>
      </c>
    </row>
    <row r="38">
      <c r="A38" s="18" t="n">
        <v>45992</v>
      </c>
      <c r="B38" s="74" t="n">
        <v>300.82</v>
      </c>
      <c r="C38" s="75">
        <f>B38/B37-1</f>
        <v/>
      </c>
      <c r="D38" s="20">
        <f>IF(C38&gt;=10%,1,0)</f>
        <v/>
      </c>
      <c r="E38" s="20">
        <f>COUNTIFS('Supplier Signals'!$P$2:$P$100,A38,'Supplier Signals'!$F$2:$F$100,"Upstream physical")</f>
        <v/>
      </c>
      <c r="F38" s="20">
        <f>COUNTIFS('Supplier Signals'!$P$2:$P$100,A38,'Supplier Signals'!$F$2:$F$100,"&lt;&gt;Upstream physical")</f>
        <v/>
      </c>
      <c r="G38" s="21" t="inlineStr">
        <is>
          <t>https://www.statmuse.com/money/ask/soxx-return-from-2020-to-2025</t>
        </is>
      </c>
    </row>
    <row r="39">
      <c r="A39" s="18" t="n">
        <v>46023</v>
      </c>
      <c r="B39" s="74" t="n">
        <v>345.92</v>
      </c>
      <c r="C39" s="75">
        <f>B39/B38-1</f>
        <v/>
      </c>
      <c r="D39" s="20">
        <f>IF(C39&gt;=10%,1,0)</f>
        <v/>
      </c>
      <c r="E39" s="20">
        <f>COUNTIFS('Supplier Signals'!$P$2:$P$100,A39,'Supplier Signals'!$F$2:$F$100,"Upstream physical")</f>
        <v/>
      </c>
      <c r="F39" s="20">
        <f>COUNTIFS('Supplier Signals'!$P$2:$P$100,A39,'Supplier Signals'!$F$2:$F$100,"&lt;&gt;Upstream physical")</f>
        <v/>
      </c>
      <c r="G39" s="21" t="inlineStr">
        <is>
          <t>https://www.statmuse.com/money/ask?q=What%27s+the+all-time+high+for+SOXX%3F</t>
        </is>
      </c>
    </row>
    <row r="40">
      <c r="A40" s="18" t="n">
        <v>46054</v>
      </c>
      <c r="B40" s="74" t="n">
        <v>351.91</v>
      </c>
      <c r="C40" s="75">
        <f>B40/B39-1</f>
        <v/>
      </c>
      <c r="D40" s="20">
        <f>IF(C40&gt;=10%,1,0)</f>
        <v/>
      </c>
      <c r="E40" s="20">
        <f>COUNTIFS('Supplier Signals'!$P$2:$P$100,A40,'Supplier Signals'!$F$2:$F$100,"Upstream physical")</f>
        <v/>
      </c>
      <c r="F40" s="20">
        <f>COUNTIFS('Supplier Signals'!$P$2:$P$100,A40,'Supplier Signals'!$F$2:$F$100,"&lt;&gt;Upstream physical")</f>
        <v/>
      </c>
      <c r="G40" s="21" t="inlineStr">
        <is>
          <t>https://www.statmuse.com/money/ask?q=What%27s+the+all-time+high+for+SOXX%3F</t>
        </is>
      </c>
    </row>
    <row r="41">
      <c r="A41" s="18" t="n">
        <v>46082</v>
      </c>
      <c r="B41" s="74" t="n">
        <v>328.5</v>
      </c>
      <c r="C41" s="75">
        <f>B41/B40-1</f>
        <v/>
      </c>
      <c r="D41" s="20">
        <f>IF(C41&gt;=10%,1,0)</f>
        <v/>
      </c>
      <c r="E41" s="20">
        <f>COUNTIFS('Supplier Signals'!$P$2:$P$100,A41,'Supplier Signals'!$F$2:$F$100,"Upstream physical")</f>
        <v/>
      </c>
      <c r="F41" s="20">
        <f>COUNTIFS('Supplier Signals'!$P$2:$P$100,A41,'Supplier Signals'!$F$2:$F$100,"&lt;&gt;Upstream physical")</f>
        <v/>
      </c>
      <c r="G41" s="21" t="inlineStr">
        <is>
          <t>https://www.statmuse.com/money/ask?q=What%27s+the+all-time+high+for+SOXX%3F</t>
        </is>
      </c>
    </row>
    <row r="42">
      <c r="A42" s="18" t="n">
        <v>46113</v>
      </c>
      <c r="B42" s="74" t="n">
        <v>461.22</v>
      </c>
      <c r="C42" s="75">
        <f>B42/B41-1</f>
        <v/>
      </c>
      <c r="D42" s="20">
        <f>IF(C42&gt;=10%,1,0)</f>
        <v/>
      </c>
      <c r="E42" s="20">
        <f>COUNTIFS('Supplier Signals'!$P$2:$P$100,A42,'Supplier Signals'!$F$2:$F$100,"Upstream physical")</f>
        <v/>
      </c>
      <c r="F42" s="20">
        <f>COUNTIFS('Supplier Signals'!$P$2:$P$100,A42,'Supplier Signals'!$F$2:$F$100,"&lt;&gt;Upstream physical")</f>
        <v/>
      </c>
      <c r="G42" s="21" t="inlineStr">
        <is>
          <t>https://www.statmuse.com/money/ask?q=What%27s+the+all-time+high+for+SOXX%3F</t>
        </is>
      </c>
    </row>
    <row r="43">
      <c r="A43" s="18" t="n">
        <v>46143</v>
      </c>
      <c r="B43" s="74" t="n">
        <v>568.8099999999999</v>
      </c>
      <c r="C43" s="75">
        <f>B43/B42-1</f>
        <v/>
      </c>
      <c r="D43" s="20">
        <f>IF(C43&gt;=10%,1,0)</f>
        <v/>
      </c>
      <c r="E43" s="20">
        <f>COUNTIFS('Supplier Signals'!$P$2:$P$100,A43,'Supplier Signals'!$F$2:$F$100,"Upstream physical")</f>
        <v/>
      </c>
      <c r="F43" s="20">
        <f>COUNTIFS('Supplier Signals'!$P$2:$P$100,A43,'Supplier Signals'!$F$2:$F$100,"&lt;&gt;Upstream physical")</f>
        <v/>
      </c>
      <c r="G43" s="21" t="inlineStr">
        <is>
          <t>https://www.statmuse.com/money/ask?q=What%27s+the+all-time+high+for+SOXX%3F</t>
        </is>
      </c>
    </row>
    <row r="44">
      <c r="A44" s="18" t="n">
        <v>46174</v>
      </c>
      <c r="B44" s="74" t="n">
        <v>640.76</v>
      </c>
      <c r="C44" s="75">
        <f>B44/B43-1</f>
        <v/>
      </c>
      <c r="D44" s="20">
        <f>IF(C44&gt;=10%,1,0)</f>
        <v/>
      </c>
      <c r="E44" s="20">
        <f>COUNTIFS('Supplier Signals'!$P$2:$P$100,A44,'Supplier Signals'!$F$2:$F$100,"Upstream physical")</f>
        <v/>
      </c>
      <c r="F44" s="20">
        <f>COUNTIFS('Supplier Signals'!$P$2:$P$100,A44,'Supplier Signals'!$F$2:$F$100,"&lt;&gt;Upstream physical")</f>
        <v/>
      </c>
      <c r="G44" s="21" t="inlineStr">
        <is>
          <t>https://www.statmuse.com/money/ask?q=What%27s+the+all-time+high+for+SOXX%3F</t>
        </is>
      </c>
    </row>
    <row r="45">
      <c r="A45" s="18" t="n">
        <v>46204</v>
      </c>
      <c r="B45" s="74" t="n">
        <v>504.89</v>
      </c>
      <c r="C45" s="75">
        <f>B45/B44-1</f>
        <v/>
      </c>
      <c r="D45" s="20">
        <f>IF(C45&gt;=10%,1,0)</f>
        <v/>
      </c>
      <c r="E45" s="20">
        <f>COUNTIFS('Supplier Signals'!$P$2:$P$100,A45,'Supplier Signals'!$F$2:$F$100,"Upstream physical")</f>
        <v/>
      </c>
      <c r="F45" s="20">
        <f>COUNTIFS('Supplier Signals'!$P$2:$P$100,A45,'Supplier Signals'!$F$2:$F$100,"&lt;&gt;Upstream physical")</f>
        <v/>
      </c>
      <c r="G45" s="21" t="inlineStr">
        <is>
          <t>https://www.statmuse.com/money/ask?q=What%27s+the+all-time+high+for+SOXX%3F</t>
        </is>
      </c>
    </row>
    <row r="46">
      <c r="A46" s="18" t="n">
        <v>46235</v>
      </c>
      <c r="B46" s="74" t="n">
        <v>511.04</v>
      </c>
      <c r="C46" s="75">
        <f>B46/B45-1</f>
        <v/>
      </c>
      <c r="D46" s="20">
        <f>IF(C46&gt;=10%,1,0)</f>
        <v/>
      </c>
      <c r="E46" s="20">
        <f>COUNTIFS('Supplier Signals'!$P$2:$P$100,A46,'Supplier Signals'!$F$2:$F$100,"Upstream physical")</f>
        <v/>
      </c>
      <c r="F46" s="20">
        <f>COUNTIFS('Supplier Signals'!$P$2:$P$100,A46,'Supplier Signals'!$F$2:$F$100,"&lt;&gt;Upstream physical")</f>
        <v/>
      </c>
      <c r="G46" s="21" t="inlineStr">
        <is>
          <t>https://www.statmuse.com/money/ask?q=What%27s+the+all-time+high+for+SOXX%3F</t>
        </is>
      </c>
    </row>
  </sheetData>
  <conditionalFormatting sqref="C3:C46">
    <cfRule type="colorScale" priority="1">
      <colorScale>
        <cfvo type="num" val="-0.2"/>
        <cfvo type="num" val="0"/>
        <cfvo type="num" val="0.3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6B656"/>
    <outlinePr summaryBelow="1" summaryRight="1"/>
    <pageSetUpPr fitToPage="1"/>
  </sheetPr>
  <dimension ref="A1:X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1" customWidth="1" min="4" max="4"/>
    <col width="20" customWidth="1" min="5" max="5"/>
    <col width="24" customWidth="1" min="6" max="6"/>
    <col width="10" customWidth="1" min="7" max="7"/>
    <col width="18" customWidth="1" min="8" max="8"/>
    <col width="48" customWidth="1" min="9" max="9"/>
    <col width="38" customWidth="1" min="10" max="10"/>
    <col width="15" customWidth="1" min="11" max="11"/>
    <col width="26" customWidth="1" min="12" max="12"/>
    <col width="18" customWidth="1" min="13" max="13"/>
    <col width="18" customWidth="1" min="14" max="14"/>
    <col width="58" customWidth="1" min="15" max="15"/>
    <col width="12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8" customWidth="1" min="22" max="22"/>
    <col width="18" customWidth="1" min="23" max="23"/>
    <col width="45" customWidth="1" min="24" max="24"/>
  </cols>
  <sheetData>
    <row r="1" ht="38" customHeight="1">
      <c r="A1" s="4" t="inlineStr">
        <is>
          <t>ID</t>
        </is>
      </c>
      <c r="B1" s="4" t="inlineStr">
        <is>
          <t>Event Date</t>
        </is>
      </c>
      <c r="C1" s="4" t="inlineStr">
        <is>
          <t>Company</t>
        </is>
      </c>
      <c r="D1" s="4" t="inlineStr">
        <is>
          <t>Ticker</t>
        </is>
      </c>
      <c r="E1" s="4" t="inlineStr">
        <is>
          <t>Layer</t>
        </is>
      </c>
      <c r="F1" s="4" t="inlineStr">
        <is>
          <t>Signal Type</t>
        </is>
      </c>
      <c r="G1" s="4" t="inlineStr">
        <is>
          <t>Backtest?</t>
        </is>
      </c>
      <c r="H1" s="4" t="inlineStr">
        <is>
          <t>Regime</t>
        </is>
      </c>
      <c r="I1" s="4" t="inlineStr">
        <is>
          <t>Event / Metric</t>
        </is>
      </c>
      <c r="J1" s="4" t="inlineStr">
        <is>
          <t>Magnitude</t>
        </is>
      </c>
      <c r="K1" s="4" t="inlineStr">
        <is>
          <t>Confidence (1-5)</t>
        </is>
      </c>
      <c r="L1" s="4" t="inlineStr">
        <is>
          <t>Clock Stage</t>
        </is>
      </c>
      <c r="M1" s="4" t="inlineStr">
        <is>
          <t>Lead to Chip Rev Min (mo)</t>
        </is>
      </c>
      <c r="N1" s="4" t="inlineStr">
        <is>
          <t>Lead to Chip Rev Max (mo)</t>
        </is>
      </c>
      <c r="O1" s="4" t="inlineStr">
        <is>
          <t>Source URL</t>
        </is>
      </c>
      <c r="P1" s="4" t="inlineStr">
        <is>
          <t>Event Month</t>
        </is>
      </c>
      <c r="Q1" s="4" t="inlineStr">
        <is>
          <t>SOXX Event Close</t>
        </is>
      </c>
      <c r="R1" s="4" t="inlineStr">
        <is>
          <t>1M Fwd</t>
        </is>
      </c>
      <c r="S1" s="4" t="inlineStr">
        <is>
          <t>3M Fwd</t>
        </is>
      </c>
      <c r="T1" s="4" t="inlineStr">
        <is>
          <t>6M Fwd</t>
        </is>
      </c>
      <c r="U1" s="4" t="inlineStr">
        <is>
          <t>9M Fwd</t>
        </is>
      </c>
      <c r="V1" s="4" t="inlineStr">
        <is>
          <t>Next &gt;=10% SOXX Month</t>
        </is>
      </c>
      <c r="W1" s="4" t="inlineStr">
        <is>
          <t>Months to Next &gt;=10%</t>
        </is>
      </c>
      <c r="X1" s="4" t="inlineStr">
        <is>
          <t>Interpretation</t>
        </is>
      </c>
    </row>
    <row r="2">
      <c r="A2" s="15" t="n">
        <v>1</v>
      </c>
      <c r="B2" s="23" t="n">
        <v>44965</v>
      </c>
      <c r="C2" s="24" t="inlineStr">
        <is>
          <t>Eaton</t>
        </is>
      </c>
      <c r="D2" s="24" t="inlineStr">
        <is>
          <t>ETN</t>
        </is>
      </c>
      <c r="E2" s="24" t="inlineStr">
        <is>
          <t>Electrical</t>
        </is>
      </c>
      <c r="F2" s="24" t="inlineStr">
        <is>
          <t>Upstream physical</t>
        </is>
      </c>
      <c r="G2" s="25" t="n">
        <v>1</v>
      </c>
      <c r="H2" s="24" t="inlineStr">
        <is>
          <t>Demand-led</t>
        </is>
      </c>
      <c r="I2" s="24" t="inlineStr">
        <is>
          <t>Electrical Americas orders/backlog surge with explicit data-center strength</t>
        </is>
      </c>
      <c r="J2" s="24" t="inlineStr">
        <is>
          <t>Orders +34% TTM; backlog +87% YoY</t>
        </is>
      </c>
      <c r="K2" s="26" t="n">
        <v>4</v>
      </c>
      <c r="L2" s="27" t="inlineStr">
        <is>
          <t>Electrical / power distribution</t>
        </is>
      </c>
      <c r="M2" s="27" t="n">
        <v>3</v>
      </c>
      <c r="N2" s="27" t="n">
        <v>12</v>
      </c>
      <c r="O2" s="28" t="inlineStr">
        <is>
          <t>https://www.eaton.com/us/en-us/company/news-insights/news-releases/2023/eaton-reports-record-fourth-quarter-2022-results.html</t>
        </is>
      </c>
      <c r="P2" s="29">
        <f>DATE(YEAR(B2),MONTH(B2),1)</f>
        <v/>
      </c>
      <c r="Q2" s="76">
        <f>IFERROR(INDEX('Market Data'!$B$2:$B$60,MATCH(P2,'Market Data'!$A$2:$A$60,0)),"")</f>
        <v/>
      </c>
      <c r="R2" s="77">
        <f>IFERROR(INDEX('Market Data'!$B$2:$B$60,MATCH(EDATE(P2,1),'Market Data'!$A$2:$A$60,0))/Q2-1,"")</f>
        <v/>
      </c>
      <c r="S2" s="77">
        <f>IFERROR(INDEX('Market Data'!$B$2:$B$60,MATCH(EDATE(P2,3),'Market Data'!$A$2:$A$60,0))/Q2-1,"")</f>
        <v/>
      </c>
      <c r="T2" s="77">
        <f>IFERROR(INDEX('Market Data'!$B$2:$B$60,MATCH(EDATE(P2,6),'Market Data'!$A$2:$A$60,0))/Q2-1,"")</f>
        <v/>
      </c>
      <c r="U2" s="77">
        <f>IFERROR(INDEX('Market Data'!$B$2:$B$60,MATCH(EDATE(P2,9),'Market Data'!$A$2:$A$60,0))/Q2-1,"")</f>
        <v/>
      </c>
      <c r="V2" s="29">
        <f>IFERROR(MINIFS('Market Data'!$A$2:$A$60,'Market Data'!$A$2:$A$60,"&gt;"&amp;P2,'Market Data'!$D$2:$D$60,1),"")</f>
        <v/>
      </c>
      <c r="W2" s="32">
        <f>IF(V2="","",DATEDIF(P2,V2,"m"))</f>
        <v/>
      </c>
      <c r="X2" s="33" t="inlineStr">
        <is>
          <t>Historical upstream signal; often concurrent rather than leading in demand-led phase.</t>
        </is>
      </c>
    </row>
    <row r="3">
      <c r="A3" s="15" t="n">
        <v>2</v>
      </c>
      <c r="B3" s="23" t="n">
        <v>45224</v>
      </c>
      <c r="C3" s="24" t="inlineStr">
        <is>
          <t>Vertiv</t>
        </is>
      </c>
      <c r="D3" s="24" t="inlineStr">
        <is>
          <t>VRT</t>
        </is>
      </c>
      <c r="E3" s="24" t="inlineStr">
        <is>
          <t>Cooling / power</t>
        </is>
      </c>
      <c r="F3" s="24" t="inlineStr">
        <is>
          <t>Upstream physical</t>
        </is>
      </c>
      <c r="G3" s="25" t="n">
        <v>1</v>
      </c>
      <c r="H3" s="24" t="inlineStr">
        <is>
          <t>Demand-led</t>
        </is>
      </c>
      <c r="I3" s="24" t="inlineStr">
        <is>
          <t>Q3 critical-infrastructure orders and backlog rise</t>
        </is>
      </c>
      <c r="J3" s="24" t="inlineStr">
        <is>
          <t>Orders +11% YoY; backlog $5.0B</t>
        </is>
      </c>
      <c r="K3" s="26" t="n">
        <v>4</v>
      </c>
      <c r="L3" s="27" t="inlineStr">
        <is>
          <t>Cooling / UPS / power</t>
        </is>
      </c>
      <c r="M3" s="27" t="n">
        <v>3</v>
      </c>
      <c r="N3" s="27" t="n">
        <v>12</v>
      </c>
      <c r="O3" s="28" t="inlineStr">
        <is>
          <t>https://investors.vertiv.com/news/news-details/2023/Vertiv-Reports-Strong-Third-Quarter-Results-and-Raises-Full-Year-2023-Outlook/default.aspx</t>
        </is>
      </c>
      <c r="P3" s="29">
        <f>DATE(YEAR(B3),MONTH(B3),1)</f>
        <v/>
      </c>
      <c r="Q3" s="76">
        <f>IFERROR(INDEX('Market Data'!$B$2:$B$60,MATCH(P3,'Market Data'!$A$2:$A$60,0)),"")</f>
        <v/>
      </c>
      <c r="R3" s="77">
        <f>IFERROR(INDEX('Market Data'!$B$2:$B$60,MATCH(EDATE(P3,1),'Market Data'!$A$2:$A$60,0))/Q3-1,"")</f>
        <v/>
      </c>
      <c r="S3" s="77">
        <f>IFERROR(INDEX('Market Data'!$B$2:$B$60,MATCH(EDATE(P3,3),'Market Data'!$A$2:$A$60,0))/Q3-1,"")</f>
        <v/>
      </c>
      <c r="T3" s="77">
        <f>IFERROR(INDEX('Market Data'!$B$2:$B$60,MATCH(EDATE(P3,6),'Market Data'!$A$2:$A$60,0))/Q3-1,"")</f>
        <v/>
      </c>
      <c r="U3" s="77">
        <f>IFERROR(INDEX('Market Data'!$B$2:$B$60,MATCH(EDATE(P3,9),'Market Data'!$A$2:$A$60,0))/Q3-1,"")</f>
        <v/>
      </c>
      <c r="V3" s="29">
        <f>IFERROR(MINIFS('Market Data'!$A$2:$A$60,'Market Data'!$A$2:$A$60,"&gt;"&amp;P3,'Market Data'!$D$2:$D$60,1),"")</f>
        <v/>
      </c>
      <c r="W3" s="32">
        <f>IF(V3="","",DATEDIF(P3,V3,"m"))</f>
        <v/>
      </c>
      <c r="X3" s="33" t="inlineStr">
        <is>
          <t>Historical upstream signal; often concurrent rather than leading in demand-led phase.</t>
        </is>
      </c>
    </row>
    <row r="4">
      <c r="A4" s="15" t="n">
        <v>3</v>
      </c>
      <c r="B4" s="23" t="n">
        <v>45343</v>
      </c>
      <c r="C4" s="24" t="inlineStr">
        <is>
          <t>Vertiv</t>
        </is>
      </c>
      <c r="D4" s="24" t="inlineStr">
        <is>
          <t>VRT</t>
        </is>
      </c>
      <c r="E4" s="24" t="inlineStr">
        <is>
          <t>Cooling / power</t>
        </is>
      </c>
      <c r="F4" s="24" t="inlineStr">
        <is>
          <t>Upstream physical</t>
        </is>
      </c>
      <c r="G4" s="25" t="n">
        <v>1</v>
      </c>
      <c r="H4" s="24" t="inlineStr">
        <is>
          <t>Demand-led</t>
        </is>
      </c>
      <c r="I4" s="24" t="inlineStr">
        <is>
          <t>Q4 critical-infrastructure orders accelerate</t>
        </is>
      </c>
      <c r="J4" s="24" t="inlineStr">
        <is>
          <t>Orders +23% YoY; book-to-bill 1.3x; backlog $5.5B</t>
        </is>
      </c>
      <c r="K4" s="26" t="n">
        <v>4</v>
      </c>
      <c r="L4" s="27" t="inlineStr">
        <is>
          <t>Cooling / UPS / power</t>
        </is>
      </c>
      <c r="M4" s="27" t="n">
        <v>3</v>
      </c>
      <c r="N4" s="27" t="n">
        <v>12</v>
      </c>
      <c r="O4" s="28" t="inlineStr">
        <is>
          <t>https://investors.vertiv.com/news/news-details/2024/Vertiv-Reports-Strong-Fourth-Quarter-Results-and-Provides-Full-Year-2024-Outlook/default.aspx</t>
        </is>
      </c>
      <c r="P4" s="29">
        <f>DATE(YEAR(B4),MONTH(B4),1)</f>
        <v/>
      </c>
      <c r="Q4" s="76">
        <f>IFERROR(INDEX('Market Data'!$B$2:$B$60,MATCH(P4,'Market Data'!$A$2:$A$60,0)),"")</f>
        <v/>
      </c>
      <c r="R4" s="77">
        <f>IFERROR(INDEX('Market Data'!$B$2:$B$60,MATCH(EDATE(P4,1),'Market Data'!$A$2:$A$60,0))/Q4-1,"")</f>
        <v/>
      </c>
      <c r="S4" s="77">
        <f>IFERROR(INDEX('Market Data'!$B$2:$B$60,MATCH(EDATE(P4,3),'Market Data'!$A$2:$A$60,0))/Q4-1,"")</f>
        <v/>
      </c>
      <c r="T4" s="77">
        <f>IFERROR(INDEX('Market Data'!$B$2:$B$60,MATCH(EDATE(P4,6),'Market Data'!$A$2:$A$60,0))/Q4-1,"")</f>
        <v/>
      </c>
      <c r="U4" s="77">
        <f>IFERROR(INDEX('Market Data'!$B$2:$B$60,MATCH(EDATE(P4,9),'Market Data'!$A$2:$A$60,0))/Q4-1,"")</f>
        <v/>
      </c>
      <c r="V4" s="29">
        <f>IFERROR(MINIFS('Market Data'!$A$2:$A$60,'Market Data'!$A$2:$A$60,"&gt;"&amp;P4,'Market Data'!$D$2:$D$60,1),"")</f>
        <v/>
      </c>
      <c r="W4" s="32">
        <f>IF(V4="","",DATEDIF(P4,V4,"m"))</f>
        <v/>
      </c>
      <c r="X4" s="33" t="inlineStr">
        <is>
          <t>Historical upstream signal; often concurrent rather than leading in demand-led phase.</t>
        </is>
      </c>
    </row>
    <row r="5">
      <c r="A5" s="15" t="n">
        <v>4</v>
      </c>
      <c r="B5" s="23" t="n">
        <v>45343</v>
      </c>
      <c r="C5" s="24" t="inlineStr">
        <is>
          <t>SK hynix</t>
        </is>
      </c>
      <c r="D5" s="24" t="inlineStr">
        <is>
          <t>000660.KS</t>
        </is>
      </c>
      <c r="E5" s="24" t="inlineStr">
        <is>
          <t>HBM</t>
        </is>
      </c>
      <c r="F5" s="24" t="inlineStr">
        <is>
          <t>Bridge / chip procurement</t>
        </is>
      </c>
      <c r="G5" s="25" t="n">
        <v>0</v>
      </c>
      <c r="H5" s="24" t="inlineStr">
        <is>
          <t>Demand-led</t>
        </is>
      </c>
      <c r="I5" s="24" t="inlineStr">
        <is>
          <t>HBM production already sold out; planning next year</t>
        </is>
      </c>
      <c r="J5" s="24" t="inlineStr">
        <is>
          <t>2024 HBM planned output sold out; already preparing 2025</t>
        </is>
      </c>
      <c r="K5" s="26" t="n">
        <v>5</v>
      </c>
      <c r="L5" s="27" t="inlineStr">
        <is>
          <t>HBM allocation</t>
        </is>
      </c>
      <c r="M5" s="27" t="n">
        <v>0</v>
      </c>
      <c r="N5" s="27" t="n">
        <v>12</v>
      </c>
      <c r="O5" s="28" t="inlineStr">
        <is>
          <t>https://news.skhynix.com/en/new-leadership-spotlight-vice-president-kitae-kim-head-of-hbm-sales-marketing/</t>
        </is>
      </c>
      <c r="P5" s="29">
        <f>DATE(YEAR(B5),MONTH(B5),1)</f>
        <v/>
      </c>
      <c r="Q5" s="76">
        <f>IFERROR(INDEX('Market Data'!$B$2:$B$60,MATCH(P5,'Market Data'!$A$2:$A$60,0)),"")</f>
        <v/>
      </c>
      <c r="R5" s="77">
        <f>IFERROR(INDEX('Market Data'!$B$2:$B$60,MATCH(EDATE(P5,1),'Market Data'!$A$2:$A$60,0))/Q5-1,"")</f>
        <v/>
      </c>
      <c r="S5" s="77">
        <f>IFERROR(INDEX('Market Data'!$B$2:$B$60,MATCH(EDATE(P5,3),'Market Data'!$A$2:$A$60,0))/Q5-1,"")</f>
        <v/>
      </c>
      <c r="T5" s="77">
        <f>IFERROR(INDEX('Market Data'!$B$2:$B$60,MATCH(EDATE(P5,6),'Market Data'!$A$2:$A$60,0))/Q5-1,"")</f>
        <v/>
      </c>
      <c r="U5" s="77">
        <f>IFERROR(INDEX('Market Data'!$B$2:$B$60,MATCH(EDATE(P5,9),'Market Data'!$A$2:$A$60,0))/Q5-1,"")</f>
        <v/>
      </c>
      <c r="V5" s="29">
        <f>IFERROR(MINIFS('Market Data'!$A$2:$A$60,'Market Data'!$A$2:$A$60,"&gt;"&amp;P5,'Market Data'!$D$2:$D$60,1),"")</f>
        <v/>
      </c>
      <c r="W5" s="32">
        <f>IF(V5="","",DATEDIF(P5,V5,"m"))</f>
        <v/>
      </c>
      <c r="X5" s="33" t="inlineStr">
        <is>
          <t>Procurement bridge; validates physical demand but may be late for equity entry.</t>
        </is>
      </c>
    </row>
    <row r="6">
      <c r="A6" s="15" t="n">
        <v>5</v>
      </c>
      <c r="B6" s="23" t="n">
        <v>45351</v>
      </c>
      <c r="C6" s="24" t="inlineStr">
        <is>
          <t>Dell</t>
        </is>
      </c>
      <c r="D6" s="24" t="inlineStr">
        <is>
          <t>DELL</t>
        </is>
      </c>
      <c r="E6" s="24" t="inlineStr">
        <is>
          <t>Servers / racks</t>
        </is>
      </c>
      <c r="F6" s="24" t="inlineStr">
        <is>
          <t>Bridge / systems</t>
        </is>
      </c>
      <c r="G6" s="25" t="n">
        <v>0</v>
      </c>
      <c r="H6" s="24" t="inlineStr">
        <is>
          <t>Demand-led</t>
        </is>
      </c>
      <c r="I6" s="24" t="inlineStr">
        <is>
          <t>AI server backlog nearly doubles</t>
        </is>
      </c>
      <c r="J6" s="24" t="inlineStr">
        <is>
          <t>AI orders +~40% sequential; backlog $2.9B</t>
        </is>
      </c>
      <c r="K6" s="26" t="n">
        <v>5</v>
      </c>
      <c r="L6" s="27" t="inlineStr">
        <is>
          <t>Server / rack orders</t>
        </is>
      </c>
      <c r="M6" s="27" t="n">
        <v>0</v>
      </c>
      <c r="N6" s="27" t="n">
        <v>6</v>
      </c>
      <c r="O6" s="28" t="inlineStr">
        <is>
          <t>https://www.dell.com/en-us/dt/corporate/newsroom/announcements/detailpage.press-releases~usa~2024~02~dell-technologies-delivers-fourth-quarter-and-full-year-fiscal-2024-financial-results.htm</t>
        </is>
      </c>
      <c r="P6" s="29">
        <f>DATE(YEAR(B6),MONTH(B6),1)</f>
        <v/>
      </c>
      <c r="Q6" s="76">
        <f>IFERROR(INDEX('Market Data'!$B$2:$B$60,MATCH(P6,'Market Data'!$A$2:$A$60,0)),"")</f>
        <v/>
      </c>
      <c r="R6" s="77">
        <f>IFERROR(INDEX('Market Data'!$B$2:$B$60,MATCH(EDATE(P6,1),'Market Data'!$A$2:$A$60,0))/Q6-1,"")</f>
        <v/>
      </c>
      <c r="S6" s="77">
        <f>IFERROR(INDEX('Market Data'!$B$2:$B$60,MATCH(EDATE(P6,3),'Market Data'!$A$2:$A$60,0))/Q6-1,"")</f>
        <v/>
      </c>
      <c r="T6" s="77">
        <f>IFERROR(INDEX('Market Data'!$B$2:$B$60,MATCH(EDATE(P6,6),'Market Data'!$A$2:$A$60,0))/Q6-1,"")</f>
        <v/>
      </c>
      <c r="U6" s="77">
        <f>IFERROR(INDEX('Market Data'!$B$2:$B$60,MATCH(EDATE(P6,9),'Market Data'!$A$2:$A$60,0))/Q6-1,"")</f>
        <v/>
      </c>
      <c r="V6" s="29">
        <f>IFERROR(MINIFS('Market Data'!$A$2:$A$60,'Market Data'!$A$2:$A$60,"&gt;"&amp;P6,'Market Data'!$D$2:$D$60,1),"")</f>
        <v/>
      </c>
      <c r="W6" s="32">
        <f>IF(V6="","",DATEDIF(P6,V6,"m"))</f>
        <v/>
      </c>
      <c r="X6" s="33" t="inlineStr">
        <is>
          <t>Procurement bridge; validates physical demand but may be late for equity entry.</t>
        </is>
      </c>
    </row>
    <row r="7">
      <c r="A7" s="15" t="n">
        <v>6</v>
      </c>
      <c r="B7" s="23" t="n">
        <v>45406</v>
      </c>
      <c r="C7" s="24" t="inlineStr">
        <is>
          <t>Vertiv</t>
        </is>
      </c>
      <c r="D7" s="24" t="inlineStr">
        <is>
          <t>VRT</t>
        </is>
      </c>
      <c r="E7" s="24" t="inlineStr">
        <is>
          <t>Cooling / power</t>
        </is>
      </c>
      <c r="F7" s="24" t="inlineStr">
        <is>
          <t>Upstream physical</t>
        </is>
      </c>
      <c r="G7" s="25" t="n">
        <v>1</v>
      </c>
      <c r="H7" s="24" t="inlineStr">
        <is>
          <t>Demand-led</t>
        </is>
      </c>
      <c r="I7" s="24" t="inlineStr">
        <is>
          <t>Q1 AI-driven infrastructure orders jump</t>
        </is>
      </c>
      <c r="J7" s="24" t="inlineStr">
        <is>
          <t>Orders +60% YoY; book-to-bill 1.5x; backlog $6.3B</t>
        </is>
      </c>
      <c r="K7" s="26" t="n">
        <v>5</v>
      </c>
      <c r="L7" s="27" t="inlineStr">
        <is>
          <t>Cooling / UPS / power</t>
        </is>
      </c>
      <c r="M7" s="27" t="n">
        <v>3</v>
      </c>
      <c r="N7" s="27" t="n">
        <v>12</v>
      </c>
      <c r="O7" s="28" t="inlineStr">
        <is>
          <t>https://investors.vertiv.com/news/news-details/2024/Vertiv-Reports-60-Organic-Orders-Growth-8-Net-Sales-Growth-in-First-Quarter-Updates-Full-Year-2024-Outlook/default.aspx</t>
        </is>
      </c>
      <c r="P7" s="29">
        <f>DATE(YEAR(B7),MONTH(B7),1)</f>
        <v/>
      </c>
      <c r="Q7" s="76">
        <f>IFERROR(INDEX('Market Data'!$B$2:$B$60,MATCH(P7,'Market Data'!$A$2:$A$60,0)),"")</f>
        <v/>
      </c>
      <c r="R7" s="77">
        <f>IFERROR(INDEX('Market Data'!$B$2:$B$60,MATCH(EDATE(P7,1),'Market Data'!$A$2:$A$60,0))/Q7-1,"")</f>
        <v/>
      </c>
      <c r="S7" s="77">
        <f>IFERROR(INDEX('Market Data'!$B$2:$B$60,MATCH(EDATE(P7,3),'Market Data'!$A$2:$A$60,0))/Q7-1,"")</f>
        <v/>
      </c>
      <c r="T7" s="77">
        <f>IFERROR(INDEX('Market Data'!$B$2:$B$60,MATCH(EDATE(P7,6),'Market Data'!$A$2:$A$60,0))/Q7-1,"")</f>
        <v/>
      </c>
      <c r="U7" s="77">
        <f>IFERROR(INDEX('Market Data'!$B$2:$B$60,MATCH(EDATE(P7,9),'Market Data'!$A$2:$A$60,0))/Q7-1,"")</f>
        <v/>
      </c>
      <c r="V7" s="29">
        <f>IFERROR(MINIFS('Market Data'!$A$2:$A$60,'Market Data'!$A$2:$A$60,"&gt;"&amp;P7,'Market Data'!$D$2:$D$60,1),"")</f>
        <v/>
      </c>
      <c r="W7" s="32">
        <f>IF(V7="","",DATEDIF(P7,V7,"m"))</f>
        <v/>
      </c>
      <c r="X7" s="33" t="inlineStr">
        <is>
          <t>Historical upstream signal; often concurrent rather than leading in demand-led phase.</t>
        </is>
      </c>
    </row>
    <row r="8">
      <c r="A8" s="15" t="n">
        <v>7</v>
      </c>
      <c r="B8" s="23" t="n">
        <v>45442</v>
      </c>
      <c r="C8" s="24" t="inlineStr">
        <is>
          <t>Dell</t>
        </is>
      </c>
      <c r="D8" s="24" t="inlineStr">
        <is>
          <t>DELL</t>
        </is>
      </c>
      <c r="E8" s="24" t="inlineStr">
        <is>
          <t>Servers / racks</t>
        </is>
      </c>
      <c r="F8" s="24" t="inlineStr">
        <is>
          <t>Bridge / systems</t>
        </is>
      </c>
      <c r="G8" s="25" t="n">
        <v>0</v>
      </c>
      <c r="H8" s="24" t="inlineStr">
        <is>
          <t>Demand-led</t>
        </is>
      </c>
      <c r="I8" s="24" t="inlineStr">
        <is>
          <t>AI server order and shipment ramp</t>
        </is>
      </c>
      <c r="J8" s="24" t="inlineStr">
        <is>
          <t>Orders $2.6B; shipments $1.7B; backlog $3.8B</t>
        </is>
      </c>
      <c r="K8" s="26" t="n">
        <v>5</v>
      </c>
      <c r="L8" s="27" t="inlineStr">
        <is>
          <t>Server / rack orders</t>
        </is>
      </c>
      <c r="M8" s="27" t="n">
        <v>0</v>
      </c>
      <c r="N8" s="27" t="n">
        <v>6</v>
      </c>
      <c r="O8" s="28" t="inlineStr">
        <is>
          <t>https://investors.delltechnologies.com/news-releases/news-release-details/dell-technologies-delivers-first-quarter-fiscal-2025-financial</t>
        </is>
      </c>
      <c r="P8" s="29">
        <f>DATE(YEAR(B8),MONTH(B8),1)</f>
        <v/>
      </c>
      <c r="Q8" s="76">
        <f>IFERROR(INDEX('Market Data'!$B$2:$B$60,MATCH(P8,'Market Data'!$A$2:$A$60,0)),"")</f>
        <v/>
      </c>
      <c r="R8" s="77">
        <f>IFERROR(INDEX('Market Data'!$B$2:$B$60,MATCH(EDATE(P8,1),'Market Data'!$A$2:$A$60,0))/Q8-1,"")</f>
        <v/>
      </c>
      <c r="S8" s="77">
        <f>IFERROR(INDEX('Market Data'!$B$2:$B$60,MATCH(EDATE(P8,3),'Market Data'!$A$2:$A$60,0))/Q8-1,"")</f>
        <v/>
      </c>
      <c r="T8" s="77">
        <f>IFERROR(INDEX('Market Data'!$B$2:$B$60,MATCH(EDATE(P8,6),'Market Data'!$A$2:$A$60,0))/Q8-1,"")</f>
        <v/>
      </c>
      <c r="U8" s="77">
        <f>IFERROR(INDEX('Market Data'!$B$2:$B$60,MATCH(EDATE(P8,9),'Market Data'!$A$2:$A$60,0))/Q8-1,"")</f>
        <v/>
      </c>
      <c r="V8" s="29">
        <f>IFERROR(MINIFS('Market Data'!$A$2:$A$60,'Market Data'!$A$2:$A$60,"&gt;"&amp;P8,'Market Data'!$D$2:$D$60,1),"")</f>
        <v/>
      </c>
      <c r="W8" s="32">
        <f>IF(V8="","",DATEDIF(P8,V8,"m"))</f>
        <v/>
      </c>
      <c r="X8" s="33" t="inlineStr">
        <is>
          <t>Procurement bridge; validates physical demand but may be late for equity entry.</t>
        </is>
      </c>
    </row>
    <row r="9">
      <c r="A9" s="15" t="n">
        <v>8</v>
      </c>
      <c r="B9" s="23" t="n">
        <v>45491</v>
      </c>
      <c r="C9" s="24" t="inlineStr">
        <is>
          <t>TSMC</t>
        </is>
      </c>
      <c r="D9" s="24" t="inlineStr">
        <is>
          <t>TSM</t>
        </is>
      </c>
      <c r="E9" s="24" t="inlineStr">
        <is>
          <t>Advanced packaging</t>
        </is>
      </c>
      <c r="F9" s="24" t="inlineStr">
        <is>
          <t>Bridge / chip procurement</t>
        </is>
      </c>
      <c r="G9" s="25" t="n">
        <v>0</v>
      </c>
      <c r="H9" s="24" t="inlineStr">
        <is>
          <t>Demand-led</t>
        </is>
      </c>
      <c r="I9" s="24" t="inlineStr">
        <is>
          <t>CoWoS expansion confirms accelerator packaging pull</t>
        </is>
      </c>
      <c r="J9" s="24" t="inlineStr">
        <is>
          <t>Capacity &gt;2x in 2024; target ~2x or more again in 2025</t>
        </is>
      </c>
      <c r="K9" s="26" t="n">
        <v>5</v>
      </c>
      <c r="L9" s="27" t="inlineStr">
        <is>
          <t>Foundry / CoWoS</t>
        </is>
      </c>
      <c r="M9" s="27" t="n">
        <v>0</v>
      </c>
      <c r="N9" s="27" t="n">
        <v>12</v>
      </c>
      <c r="O9" s="28" t="inlineStr">
        <is>
          <t>https://investor.tsmc.com/english/encrypt/files/encrypt_file/reports/2024-08/5122725a56670882d777a8e8bfe0ed247cc55330/TSMC%202Q24%20Transcript.pdf</t>
        </is>
      </c>
      <c r="P9" s="29">
        <f>DATE(YEAR(B9),MONTH(B9),1)</f>
        <v/>
      </c>
      <c r="Q9" s="76">
        <f>IFERROR(INDEX('Market Data'!$B$2:$B$60,MATCH(P9,'Market Data'!$A$2:$A$60,0)),"")</f>
        <v/>
      </c>
      <c r="R9" s="77">
        <f>IFERROR(INDEX('Market Data'!$B$2:$B$60,MATCH(EDATE(P9,1),'Market Data'!$A$2:$A$60,0))/Q9-1,"")</f>
        <v/>
      </c>
      <c r="S9" s="77">
        <f>IFERROR(INDEX('Market Data'!$B$2:$B$60,MATCH(EDATE(P9,3),'Market Data'!$A$2:$A$60,0))/Q9-1,"")</f>
        <v/>
      </c>
      <c r="T9" s="77">
        <f>IFERROR(INDEX('Market Data'!$B$2:$B$60,MATCH(EDATE(P9,6),'Market Data'!$A$2:$A$60,0))/Q9-1,"")</f>
        <v/>
      </c>
      <c r="U9" s="77">
        <f>IFERROR(INDEX('Market Data'!$B$2:$B$60,MATCH(EDATE(P9,9),'Market Data'!$A$2:$A$60,0))/Q9-1,"")</f>
        <v/>
      </c>
      <c r="V9" s="29">
        <f>IFERROR(MINIFS('Market Data'!$A$2:$A$60,'Market Data'!$A$2:$A$60,"&gt;"&amp;P9,'Market Data'!$D$2:$D$60,1),"")</f>
        <v/>
      </c>
      <c r="W9" s="32">
        <f>IF(V9="","",DATEDIF(P9,V9,"m"))</f>
        <v/>
      </c>
      <c r="X9" s="33" t="inlineStr">
        <is>
          <t>Procurement bridge; validates physical demand but may be late for equity entry.</t>
        </is>
      </c>
    </row>
    <row r="10">
      <c r="A10" s="15" t="n">
        <v>9</v>
      </c>
      <c r="B10" s="23" t="n">
        <v>45588</v>
      </c>
      <c r="C10" s="24" t="inlineStr">
        <is>
          <t>Vertiv</t>
        </is>
      </c>
      <c r="D10" s="24" t="inlineStr">
        <is>
          <t>VRT</t>
        </is>
      </c>
      <c r="E10" s="24" t="inlineStr">
        <is>
          <t>Cooling / power</t>
        </is>
      </c>
      <c r="F10" s="24" t="inlineStr">
        <is>
          <t>Upstream physical</t>
        </is>
      </c>
      <c r="G10" s="25" t="n">
        <v>1</v>
      </c>
      <c r="H10" s="24" t="inlineStr">
        <is>
          <t>Demand-led</t>
        </is>
      </c>
      <c r="I10" s="24" t="inlineStr">
        <is>
          <t>Hyperscale and AI/liquid-cooling pipeline stays strong</t>
        </is>
      </c>
      <c r="J10" s="24" t="inlineStr">
        <is>
          <t>Q3 orders +17% YoY; TTM +37%</t>
        </is>
      </c>
      <c r="K10" s="26" t="n">
        <v>4</v>
      </c>
      <c r="L10" s="27" t="inlineStr">
        <is>
          <t>Cooling / UPS / power</t>
        </is>
      </c>
      <c r="M10" s="27" t="n">
        <v>3</v>
      </c>
      <c r="N10" s="27" t="n">
        <v>12</v>
      </c>
      <c r="O10" s="28" t="inlineStr">
        <is>
          <t>https://investors.vertiv.com/news/news-details/2024/Vertiv-Reports-Strong-Third-Quarter-2024-Results-and-Raises-Full-Year-Guidance/default.aspx</t>
        </is>
      </c>
      <c r="P10" s="29">
        <f>DATE(YEAR(B10),MONTH(B10),1)</f>
        <v/>
      </c>
      <c r="Q10" s="76">
        <f>IFERROR(INDEX('Market Data'!$B$2:$B$60,MATCH(P10,'Market Data'!$A$2:$A$60,0)),"")</f>
        <v/>
      </c>
      <c r="R10" s="77">
        <f>IFERROR(INDEX('Market Data'!$B$2:$B$60,MATCH(EDATE(P10,1),'Market Data'!$A$2:$A$60,0))/Q10-1,"")</f>
        <v/>
      </c>
      <c r="S10" s="77">
        <f>IFERROR(INDEX('Market Data'!$B$2:$B$60,MATCH(EDATE(P10,3),'Market Data'!$A$2:$A$60,0))/Q10-1,"")</f>
        <v/>
      </c>
      <c r="T10" s="77">
        <f>IFERROR(INDEX('Market Data'!$B$2:$B$60,MATCH(EDATE(P10,6),'Market Data'!$A$2:$A$60,0))/Q10-1,"")</f>
        <v/>
      </c>
      <c r="U10" s="77">
        <f>IFERROR(INDEX('Market Data'!$B$2:$B$60,MATCH(EDATE(P10,9),'Market Data'!$A$2:$A$60,0))/Q10-1,"")</f>
        <v/>
      </c>
      <c r="V10" s="29">
        <f>IFERROR(MINIFS('Market Data'!$A$2:$A$60,'Market Data'!$A$2:$A$60,"&gt;"&amp;P10,'Market Data'!$D$2:$D$60,1),"")</f>
        <v/>
      </c>
      <c r="W10" s="32">
        <f>IF(V10="","",DATEDIF(P10,V10,"m"))</f>
        <v/>
      </c>
      <c r="X10" s="33" t="inlineStr">
        <is>
          <t>Historical upstream signal; often concurrent rather than leading in demand-led phase.</t>
        </is>
      </c>
    </row>
    <row r="11">
      <c r="A11" s="15" t="n">
        <v>10</v>
      </c>
      <c r="B11" s="23" t="n">
        <v>45688</v>
      </c>
      <c r="C11" s="24" t="inlineStr">
        <is>
          <t>Eaton</t>
        </is>
      </c>
      <c r="D11" s="24" t="inlineStr">
        <is>
          <t>ETN</t>
        </is>
      </c>
      <c r="E11" s="24" t="inlineStr">
        <is>
          <t>Electrical</t>
        </is>
      </c>
      <c r="F11" s="24" t="inlineStr">
        <is>
          <t>Upstream physical</t>
        </is>
      </c>
      <c r="G11" s="25" t="n">
        <v>1</v>
      </c>
      <c r="H11" s="24" t="inlineStr">
        <is>
          <t>Transition</t>
        </is>
      </c>
      <c r="I11" s="24" t="inlineStr">
        <is>
          <t>Data-center electrical order book sharply expands</t>
        </is>
      </c>
      <c r="J11" s="24" t="inlineStr">
        <is>
          <t>Data-center TTM orders +75%; backlog +50%; hyperscaler sales +~75%</t>
        </is>
      </c>
      <c r="K11" s="26" t="n">
        <v>5</v>
      </c>
      <c r="L11" s="27" t="inlineStr">
        <is>
          <t>Electrical / power distribution</t>
        </is>
      </c>
      <c r="M11" s="27" t="n">
        <v>3</v>
      </c>
      <c r="N11" s="27" t="n">
        <v>12</v>
      </c>
      <c r="O11" s="28" t="inlineStr">
        <is>
          <t>https://www.eaton.com/content/dam/eaton/company/investor-relations/quarterly-earnings/filings/2024/q4/4Q-2024-analyst-presentation.pdf</t>
        </is>
      </c>
      <c r="P11" s="29">
        <f>DATE(YEAR(B11),MONTH(B11),1)</f>
        <v/>
      </c>
      <c r="Q11" s="76">
        <f>IFERROR(INDEX('Market Data'!$B$2:$B$60,MATCH(P11,'Market Data'!$A$2:$A$60,0)),"")</f>
        <v/>
      </c>
      <c r="R11" s="77">
        <f>IFERROR(INDEX('Market Data'!$B$2:$B$60,MATCH(EDATE(P11,1),'Market Data'!$A$2:$A$60,0))/Q11-1,"")</f>
        <v/>
      </c>
      <c r="S11" s="77">
        <f>IFERROR(INDEX('Market Data'!$B$2:$B$60,MATCH(EDATE(P11,3),'Market Data'!$A$2:$A$60,0))/Q11-1,"")</f>
        <v/>
      </c>
      <c r="T11" s="77">
        <f>IFERROR(INDEX('Market Data'!$B$2:$B$60,MATCH(EDATE(P11,6),'Market Data'!$A$2:$A$60,0))/Q11-1,"")</f>
        <v/>
      </c>
      <c r="U11" s="77">
        <f>IFERROR(INDEX('Market Data'!$B$2:$B$60,MATCH(EDATE(P11,9),'Market Data'!$A$2:$A$60,0))/Q11-1,"")</f>
        <v/>
      </c>
      <c r="V11" s="29">
        <f>IFERROR(MINIFS('Market Data'!$A$2:$A$60,'Market Data'!$A$2:$A$60,"&gt;"&amp;P11,'Market Data'!$D$2:$D$60,1),"")</f>
        <v/>
      </c>
      <c r="W11" s="32">
        <f>IF(V11="","",DATEDIF(P11,V11,"m"))</f>
        <v/>
      </c>
      <c r="X11" s="33" t="inlineStr">
        <is>
          <t>Historical upstream signal; often concurrent rather than leading in demand-led phase.</t>
        </is>
      </c>
    </row>
    <row r="12">
      <c r="A12" s="15" t="n">
        <v>11</v>
      </c>
      <c r="B12" s="23" t="n">
        <v>45736</v>
      </c>
      <c r="C12" s="24" t="inlineStr">
        <is>
          <t>Micron</t>
        </is>
      </c>
      <c r="D12" s="24" t="inlineStr">
        <is>
          <t>MU</t>
        </is>
      </c>
      <c r="E12" s="24" t="inlineStr">
        <is>
          <t>HBM</t>
        </is>
      </c>
      <c r="F12" s="24" t="inlineStr">
        <is>
          <t>Bridge / chip procurement</t>
        </is>
      </c>
      <c r="G12" s="25" t="n">
        <v>0</v>
      </c>
      <c r="H12" s="24" t="inlineStr">
        <is>
          <t>Transition</t>
        </is>
      </c>
      <c r="I12" s="24" t="inlineStr">
        <is>
          <t>HBM volume commitments extend into next year</t>
        </is>
      </c>
      <c r="J12" s="24" t="inlineStr">
        <is>
          <t>2025 HBM sold out; negotiating 2026 demand</t>
        </is>
      </c>
      <c r="K12" s="26" t="n">
        <v>5</v>
      </c>
      <c r="L12" s="27" t="inlineStr">
        <is>
          <t>HBM allocation</t>
        </is>
      </c>
      <c r="M12" s="27" t="n">
        <v>0</v>
      </c>
      <c r="N12" s="27" t="n">
        <v>12</v>
      </c>
      <c r="O12" s="28" t="inlineStr">
        <is>
          <t>https://investors.micron.com/static-files/52ce0c07-49dc-4eab-b1d2-a67bde373bca</t>
        </is>
      </c>
      <c r="P12" s="29">
        <f>DATE(YEAR(B12),MONTH(B12),1)</f>
        <v/>
      </c>
      <c r="Q12" s="76">
        <f>IFERROR(INDEX('Market Data'!$B$2:$B$60,MATCH(P12,'Market Data'!$A$2:$A$60,0)),"")</f>
        <v/>
      </c>
      <c r="R12" s="77">
        <f>IFERROR(INDEX('Market Data'!$B$2:$B$60,MATCH(EDATE(P12,1),'Market Data'!$A$2:$A$60,0))/Q12-1,"")</f>
        <v/>
      </c>
      <c r="S12" s="77">
        <f>IFERROR(INDEX('Market Data'!$B$2:$B$60,MATCH(EDATE(P12,3),'Market Data'!$A$2:$A$60,0))/Q12-1,"")</f>
        <v/>
      </c>
      <c r="T12" s="77">
        <f>IFERROR(INDEX('Market Data'!$B$2:$B$60,MATCH(EDATE(P12,6),'Market Data'!$A$2:$A$60,0))/Q12-1,"")</f>
        <v/>
      </c>
      <c r="U12" s="77">
        <f>IFERROR(INDEX('Market Data'!$B$2:$B$60,MATCH(EDATE(P12,9),'Market Data'!$A$2:$A$60,0))/Q12-1,"")</f>
        <v/>
      </c>
      <c r="V12" s="29">
        <f>IFERROR(MINIFS('Market Data'!$A$2:$A$60,'Market Data'!$A$2:$A$60,"&gt;"&amp;P12,'Market Data'!$D$2:$D$60,1),"")</f>
        <v/>
      </c>
      <c r="W12" s="32">
        <f>IF(V12="","",DATEDIF(P12,V12,"m"))</f>
        <v/>
      </c>
      <c r="X12" s="33" t="inlineStr">
        <is>
          <t>Procurement bridge; validates physical demand but may be late for equity entry.</t>
        </is>
      </c>
    </row>
    <row r="13">
      <c r="A13" s="15" t="n">
        <v>12</v>
      </c>
      <c r="B13" s="23" t="n">
        <v>45868</v>
      </c>
      <c r="C13" s="24" t="inlineStr">
        <is>
          <t>Vertiv</t>
        </is>
      </c>
      <c r="D13" s="24" t="inlineStr">
        <is>
          <t>VRT</t>
        </is>
      </c>
      <c r="E13" s="24" t="inlineStr">
        <is>
          <t>Cooling / power</t>
        </is>
      </c>
      <c r="F13" s="24" t="inlineStr">
        <is>
          <t>Upstream physical</t>
        </is>
      </c>
      <c r="G13" s="25" t="n">
        <v>1</v>
      </c>
      <c r="H13" s="24" t="inlineStr">
        <is>
          <t>Power-constrained</t>
        </is>
      </c>
      <c r="I13" s="24" t="inlineStr">
        <is>
          <t>Critical infrastructure orders reaccelerate sequentially</t>
        </is>
      </c>
      <c r="J13" s="24" t="inlineStr">
        <is>
          <t>Q2 orders +15% YoY / +11% sequential; backlog $8.5B; B2B ~1.2x</t>
        </is>
      </c>
      <c r="K13" s="26" t="n">
        <v>4</v>
      </c>
      <c r="L13" s="27" t="inlineStr">
        <is>
          <t>Cooling / UPS / power</t>
        </is>
      </c>
      <c r="M13" s="27" t="n">
        <v>3</v>
      </c>
      <c r="N13" s="27" t="n">
        <v>12</v>
      </c>
      <c r="O13" s="28" t="inlineStr">
        <is>
          <t>https://investors.vertiv.com/news/news-details/2025/Vertiv-Reports-Strong-Orders-Sales-and-EPS-Growth-Raises-Full-Year-Guidance/</t>
        </is>
      </c>
      <c r="P13" s="29">
        <f>DATE(YEAR(B13),MONTH(B13),1)</f>
        <v/>
      </c>
      <c r="Q13" s="76">
        <f>IFERROR(INDEX('Market Data'!$B$2:$B$60,MATCH(P13,'Market Data'!$A$2:$A$60,0)),"")</f>
        <v/>
      </c>
      <c r="R13" s="77">
        <f>IFERROR(INDEX('Market Data'!$B$2:$B$60,MATCH(EDATE(P13,1),'Market Data'!$A$2:$A$60,0))/Q13-1,"")</f>
        <v/>
      </c>
      <c r="S13" s="77">
        <f>IFERROR(INDEX('Market Data'!$B$2:$B$60,MATCH(EDATE(P13,3),'Market Data'!$A$2:$A$60,0))/Q13-1,"")</f>
        <v/>
      </c>
      <c r="T13" s="77">
        <f>IFERROR(INDEX('Market Data'!$B$2:$B$60,MATCH(EDATE(P13,6),'Market Data'!$A$2:$A$60,0))/Q13-1,"")</f>
        <v/>
      </c>
      <c r="U13" s="77">
        <f>IFERROR(INDEX('Market Data'!$B$2:$B$60,MATCH(EDATE(P13,9),'Market Data'!$A$2:$A$60,0))/Q13-1,"")</f>
        <v/>
      </c>
      <c r="V13" s="29">
        <f>IFERROR(MINIFS('Market Data'!$A$2:$A$60,'Market Data'!$A$2:$A$60,"&gt;"&amp;P13,'Market Data'!$D$2:$D$60,1),"")</f>
        <v/>
      </c>
      <c r="W13" s="32">
        <f>IF(V13="","",DATEDIF(P13,V13,"m"))</f>
        <v/>
      </c>
      <c r="X13" s="33" t="inlineStr">
        <is>
          <t>Candidate leading signal in power-constrained regime.</t>
        </is>
      </c>
    </row>
    <row r="14">
      <c r="A14" s="15" t="n">
        <v>13</v>
      </c>
      <c r="B14" s="23" t="n">
        <v>45876</v>
      </c>
      <c r="C14" s="24" t="inlineStr">
        <is>
          <t>Caterpillar</t>
        </is>
      </c>
      <c r="D14" s="24" t="inlineStr">
        <is>
          <t>CAT</t>
        </is>
      </c>
      <c r="E14" s="24" t="inlineStr">
        <is>
          <t>Generation</t>
        </is>
      </c>
      <c r="F14" s="24" t="inlineStr">
        <is>
          <t>Upstream physical</t>
        </is>
      </c>
      <c r="G14" s="25" t="n">
        <v>1</v>
      </c>
      <c r="H14" s="24" t="inlineStr">
        <is>
          <t>Power-constrained</t>
        </is>
      </c>
      <c r="I14" s="24" t="inlineStr">
        <is>
          <t>Firm speed-to-power agreement for Utah AI/HPC campus</t>
        </is>
      </c>
      <c r="J14" s="24" t="inlineStr">
        <is>
          <t>4 GW total energy plan; gigawatt capacity launch in 2026</t>
        </is>
      </c>
      <c r="K14" s="26" t="n">
        <v>5</v>
      </c>
      <c r="L14" s="27" t="inlineStr">
        <is>
          <t>Generation contract / gensets</t>
        </is>
      </c>
      <c r="M14" s="27" t="n">
        <v>6</v>
      </c>
      <c r="N14" s="27" t="n">
        <v>18</v>
      </c>
      <c r="O14" s="28" t="inlineStr">
        <is>
          <t>https://investors.caterpillar.com/news/news-details/2025/Joule-Caterpillar-and-Wheeler-Announce-an-Agreement-to-Power-Americas-Growing-Data-Center-Energy-Needs/default.aspx</t>
        </is>
      </c>
      <c r="P14" s="29">
        <f>DATE(YEAR(B14),MONTH(B14),1)</f>
        <v/>
      </c>
      <c r="Q14" s="76">
        <f>IFERROR(INDEX('Market Data'!$B$2:$B$60,MATCH(P14,'Market Data'!$A$2:$A$60,0)),"")</f>
        <v/>
      </c>
      <c r="R14" s="77">
        <f>IFERROR(INDEX('Market Data'!$B$2:$B$60,MATCH(EDATE(P14,1),'Market Data'!$A$2:$A$60,0))/Q14-1,"")</f>
        <v/>
      </c>
      <c r="S14" s="77">
        <f>IFERROR(INDEX('Market Data'!$B$2:$B$60,MATCH(EDATE(P14,3),'Market Data'!$A$2:$A$60,0))/Q14-1,"")</f>
        <v/>
      </c>
      <c r="T14" s="77">
        <f>IFERROR(INDEX('Market Data'!$B$2:$B$60,MATCH(EDATE(P14,6),'Market Data'!$A$2:$A$60,0))/Q14-1,"")</f>
        <v/>
      </c>
      <c r="U14" s="77">
        <f>IFERROR(INDEX('Market Data'!$B$2:$B$60,MATCH(EDATE(P14,9),'Market Data'!$A$2:$A$60,0))/Q14-1,"")</f>
        <v/>
      </c>
      <c r="V14" s="29">
        <f>IFERROR(MINIFS('Market Data'!$A$2:$A$60,'Market Data'!$A$2:$A$60,"&gt;"&amp;P14,'Market Data'!$D$2:$D$60,1),"")</f>
        <v/>
      </c>
      <c r="W14" s="32">
        <f>IF(V14="","",DATEDIF(P14,V14,"m"))</f>
        <v/>
      </c>
      <c r="X14" s="33" t="inlineStr">
        <is>
          <t>Candidate leading signal in power-constrained regime.</t>
        </is>
      </c>
    </row>
    <row r="15">
      <c r="A15" s="15" t="n">
        <v>14</v>
      </c>
      <c r="B15" s="23" t="n">
        <v>45890</v>
      </c>
      <c r="C15" s="24" t="inlineStr">
        <is>
          <t>Caterpillar</t>
        </is>
      </c>
      <c r="D15" s="24" t="inlineStr">
        <is>
          <t>CAT</t>
        </is>
      </c>
      <c r="E15" s="24" t="inlineStr">
        <is>
          <t>Generation</t>
        </is>
      </c>
      <c r="F15" s="24" t="inlineStr">
        <is>
          <t>Upstream physical</t>
        </is>
      </c>
      <c r="G15" s="25" t="n">
        <v>1</v>
      </c>
      <c r="H15" s="24" t="inlineStr">
        <is>
          <t>Power-constrained</t>
        </is>
      </c>
      <c r="I15" s="24" t="inlineStr">
        <is>
          <t>Long-term data-center power alliance with first Texas project</t>
        </is>
      </c>
      <c r="J15" s="24" t="inlineStr">
        <is>
          <t>Up to 1 GW generation initiative</t>
        </is>
      </c>
      <c r="K15" s="26" t="n">
        <v>4</v>
      </c>
      <c r="L15" s="27" t="inlineStr">
        <is>
          <t>Generation contract / gensets</t>
        </is>
      </c>
      <c r="M15" s="27" t="n">
        <v>6</v>
      </c>
      <c r="N15" s="27" t="n">
        <v>18</v>
      </c>
      <c r="O15" s="28" t="inlineStr">
        <is>
          <t>https://investors.caterpillar.com/news/news-details/2025/Caterpillar-and-Hunt-Energy-Company-L-P--Sign-Long-Term-Strategic-Agreement-to-Deliver-Power-Solutions-for-Data-Centers/default.aspx</t>
        </is>
      </c>
      <c r="P15" s="29">
        <f>DATE(YEAR(B15),MONTH(B15),1)</f>
        <v/>
      </c>
      <c r="Q15" s="76">
        <f>IFERROR(INDEX('Market Data'!$B$2:$B$60,MATCH(P15,'Market Data'!$A$2:$A$60,0)),"")</f>
        <v/>
      </c>
      <c r="R15" s="77">
        <f>IFERROR(INDEX('Market Data'!$B$2:$B$60,MATCH(EDATE(P15,1),'Market Data'!$A$2:$A$60,0))/Q15-1,"")</f>
        <v/>
      </c>
      <c r="S15" s="77">
        <f>IFERROR(INDEX('Market Data'!$B$2:$B$60,MATCH(EDATE(P15,3),'Market Data'!$A$2:$A$60,0))/Q15-1,"")</f>
        <v/>
      </c>
      <c r="T15" s="77">
        <f>IFERROR(INDEX('Market Data'!$B$2:$B$60,MATCH(EDATE(P15,6),'Market Data'!$A$2:$A$60,0))/Q15-1,"")</f>
        <v/>
      </c>
      <c r="U15" s="77">
        <f>IFERROR(INDEX('Market Data'!$B$2:$B$60,MATCH(EDATE(P15,9),'Market Data'!$A$2:$A$60,0))/Q15-1,"")</f>
        <v/>
      </c>
      <c r="V15" s="29">
        <f>IFERROR(MINIFS('Market Data'!$A$2:$A$60,'Market Data'!$A$2:$A$60,"&gt;"&amp;P15,'Market Data'!$D$2:$D$60,1),"")</f>
        <v/>
      </c>
      <c r="W15" s="32">
        <f>IF(V15="","",DATEDIF(P15,V15,"m"))</f>
        <v/>
      </c>
      <c r="X15" s="33" t="inlineStr">
        <is>
          <t>Candidate leading signal in power-constrained regime.</t>
        </is>
      </c>
    </row>
    <row r="16">
      <c r="A16" s="15" t="n">
        <v>15</v>
      </c>
      <c r="B16" s="23" t="n">
        <v>45952</v>
      </c>
      <c r="C16" s="24" t="inlineStr">
        <is>
          <t>Vertiv</t>
        </is>
      </c>
      <c r="D16" s="24" t="inlineStr">
        <is>
          <t>VRT</t>
        </is>
      </c>
      <c r="E16" s="24" t="inlineStr">
        <is>
          <t>Cooling / power</t>
        </is>
      </c>
      <c r="F16" s="24" t="inlineStr">
        <is>
          <t>Upstream physical</t>
        </is>
      </c>
      <c r="G16" s="25" t="n">
        <v>1</v>
      </c>
      <c r="H16" s="24" t="inlineStr">
        <is>
          <t>Power-constrained</t>
        </is>
      </c>
      <c r="I16" s="24" t="inlineStr">
        <is>
          <t>AI infrastructure orders accelerate sharply</t>
        </is>
      </c>
      <c r="J16" s="24" t="inlineStr">
        <is>
          <t>Q3 orders +60% YoY / +20% sequential; B2B ~1.4x; backlog $9.5B</t>
        </is>
      </c>
      <c r="K16" s="26" t="n">
        <v>5</v>
      </c>
      <c r="L16" s="27" t="inlineStr">
        <is>
          <t>Cooling / UPS / power</t>
        </is>
      </c>
      <c r="M16" s="27" t="n">
        <v>3</v>
      </c>
      <c r="N16" s="27" t="n">
        <v>12</v>
      </c>
      <c r="O16" s="28" t="inlineStr">
        <is>
          <t>https://investors.vertiv.com/news/news-details/2025/Vertiv-Reports-Strong-Third-Quarter-Results-including-Organic-Orders-60-Diluted-EPS-122-Adjusted-EPS-63-Raises-2025-Guidance/</t>
        </is>
      </c>
      <c r="P16" s="29">
        <f>DATE(YEAR(B16),MONTH(B16),1)</f>
        <v/>
      </c>
      <c r="Q16" s="76">
        <f>IFERROR(INDEX('Market Data'!$B$2:$B$60,MATCH(P16,'Market Data'!$A$2:$A$60,0)),"")</f>
        <v/>
      </c>
      <c r="R16" s="77">
        <f>IFERROR(INDEX('Market Data'!$B$2:$B$60,MATCH(EDATE(P16,1),'Market Data'!$A$2:$A$60,0))/Q16-1,"")</f>
        <v/>
      </c>
      <c r="S16" s="77">
        <f>IFERROR(INDEX('Market Data'!$B$2:$B$60,MATCH(EDATE(P16,3),'Market Data'!$A$2:$A$60,0))/Q16-1,"")</f>
        <v/>
      </c>
      <c r="T16" s="77">
        <f>IFERROR(INDEX('Market Data'!$B$2:$B$60,MATCH(EDATE(P16,6),'Market Data'!$A$2:$A$60,0))/Q16-1,"")</f>
        <v/>
      </c>
      <c r="U16" s="77">
        <f>IFERROR(INDEX('Market Data'!$B$2:$B$60,MATCH(EDATE(P16,9),'Market Data'!$A$2:$A$60,0))/Q16-1,"")</f>
        <v/>
      </c>
      <c r="V16" s="29">
        <f>IFERROR(MINIFS('Market Data'!$A$2:$A$60,'Market Data'!$A$2:$A$60,"&gt;"&amp;P16,'Market Data'!$D$2:$D$60,1),"")</f>
        <v/>
      </c>
      <c r="W16" s="32">
        <f>IF(V16="","",DATEDIF(P16,V16,"m"))</f>
        <v/>
      </c>
      <c r="X16" s="33" t="inlineStr">
        <is>
          <t>Candidate leading signal in power-constrained regime.</t>
        </is>
      </c>
    </row>
    <row r="17">
      <c r="A17" s="15" t="n">
        <v>16</v>
      </c>
      <c r="B17" s="23" t="n">
        <v>45965</v>
      </c>
      <c r="C17" s="24" t="inlineStr">
        <is>
          <t>Eaton</t>
        </is>
      </c>
      <c r="D17" s="24" t="inlineStr">
        <is>
          <t>ETN</t>
        </is>
      </c>
      <c r="E17" s="24" t="inlineStr">
        <is>
          <t>Electrical</t>
        </is>
      </c>
      <c r="F17" s="24" t="inlineStr">
        <is>
          <t>Upstream physical</t>
        </is>
      </c>
      <c r="G17" s="25" t="n">
        <v>1</v>
      </c>
      <c r="H17" s="24" t="inlineStr">
        <is>
          <t>Power-constrained</t>
        </is>
      </c>
      <c r="I17" s="24" t="inlineStr">
        <is>
          <t>Electrical orders accelerate, explicitly data-center driven</t>
        </is>
      </c>
      <c r="J17" s="24" t="inlineStr">
        <is>
          <t>Electrical Americas rolling orders +7%; backlog +20%</t>
        </is>
      </c>
      <c r="K17" s="26" t="n">
        <v>4</v>
      </c>
      <c r="L17" s="27" t="inlineStr">
        <is>
          <t>Electrical / power distribution</t>
        </is>
      </c>
      <c r="M17" s="27" t="n">
        <v>3</v>
      </c>
      <c r="N17" s="27" t="n">
        <v>12</v>
      </c>
      <c r="O17" s="28" t="inlineStr">
        <is>
          <t>https://www.eaton.com/content/dam/eaton/company/investor-relations/quarterly-earnings/filings/2025/q3/3Q-2025-earnings-complete.pdf</t>
        </is>
      </c>
      <c r="P17" s="29">
        <f>DATE(YEAR(B17),MONTH(B17),1)</f>
        <v/>
      </c>
      <c r="Q17" s="76">
        <f>IFERROR(INDEX('Market Data'!$B$2:$B$60,MATCH(P17,'Market Data'!$A$2:$A$60,0)),"")</f>
        <v/>
      </c>
      <c r="R17" s="77">
        <f>IFERROR(INDEX('Market Data'!$B$2:$B$60,MATCH(EDATE(P17,1),'Market Data'!$A$2:$A$60,0))/Q17-1,"")</f>
        <v/>
      </c>
      <c r="S17" s="77">
        <f>IFERROR(INDEX('Market Data'!$B$2:$B$60,MATCH(EDATE(P17,3),'Market Data'!$A$2:$A$60,0))/Q17-1,"")</f>
        <v/>
      </c>
      <c r="T17" s="77">
        <f>IFERROR(INDEX('Market Data'!$B$2:$B$60,MATCH(EDATE(P17,6),'Market Data'!$A$2:$A$60,0))/Q17-1,"")</f>
        <v/>
      </c>
      <c r="U17" s="77">
        <f>IFERROR(INDEX('Market Data'!$B$2:$B$60,MATCH(EDATE(P17,9),'Market Data'!$A$2:$A$60,0))/Q17-1,"")</f>
        <v/>
      </c>
      <c r="V17" s="29">
        <f>IFERROR(MINIFS('Market Data'!$A$2:$A$60,'Market Data'!$A$2:$A$60,"&gt;"&amp;P17,'Market Data'!$D$2:$D$60,1),"")</f>
        <v/>
      </c>
      <c r="W17" s="32">
        <f>IF(V17="","",DATEDIF(P17,V17,"m"))</f>
        <v/>
      </c>
      <c r="X17" s="33" t="inlineStr">
        <is>
          <t>Candidate leading signal in power-constrained regime.</t>
        </is>
      </c>
    </row>
    <row r="18">
      <c r="A18" s="15" t="n">
        <v>17</v>
      </c>
      <c r="B18" s="23" t="n">
        <v>46050</v>
      </c>
      <c r="C18" s="24" t="inlineStr">
        <is>
          <t>Caterpillar</t>
        </is>
      </c>
      <c r="D18" s="24" t="inlineStr">
        <is>
          <t>CAT</t>
        </is>
      </c>
      <c r="E18" s="24" t="inlineStr">
        <is>
          <t>Generation</t>
        </is>
      </c>
      <c r="F18" s="24" t="inlineStr">
        <is>
          <t>Upstream physical</t>
        </is>
      </c>
      <c r="G18" s="25" t="n">
        <v>1</v>
      </c>
      <c r="H18" s="24" t="inlineStr">
        <is>
          <t>Power-constrained</t>
        </is>
      </c>
      <c r="I18" s="24" t="inlineStr">
        <is>
          <t>Purchase agreement gives a hard power-delivery clock</t>
        </is>
      </c>
      <c r="J18" s="24" t="inlineStr">
        <is>
          <t>2 GW gensets; deliveries Sep-26 to Aug-27; commissioning within months</t>
        </is>
      </c>
      <c r="K18" s="26" t="n">
        <v>5</v>
      </c>
      <c r="L18" s="27" t="inlineStr">
        <is>
          <t>Generation contract / gensets</t>
        </is>
      </c>
      <c r="M18" s="27" t="n">
        <v>6</v>
      </c>
      <c r="N18" s="27" t="n">
        <v>18</v>
      </c>
      <c r="O18" s="28" t="inlineStr">
        <is>
          <t>https://investors.caterpillar.com/news/news-details/2026/American-Intelligence--Power-Forms-Strategic-Alliance-with-Caterpillar-and-Boyd-CAT-to-Deploy-2-Gigawatts-of-Dedicated-Power-for-Hyperscale-AI-Infrastructure/default.aspx</t>
        </is>
      </c>
      <c r="P18" s="29">
        <f>DATE(YEAR(B18),MONTH(B18),1)</f>
        <v/>
      </c>
      <c r="Q18" s="76">
        <f>IFERROR(INDEX('Market Data'!$B$2:$B$60,MATCH(P18,'Market Data'!$A$2:$A$60,0)),"")</f>
        <v/>
      </c>
      <c r="R18" s="77">
        <f>IFERROR(INDEX('Market Data'!$B$2:$B$60,MATCH(EDATE(P18,1),'Market Data'!$A$2:$A$60,0))/Q18-1,"")</f>
        <v/>
      </c>
      <c r="S18" s="77">
        <f>IFERROR(INDEX('Market Data'!$B$2:$B$60,MATCH(EDATE(P18,3),'Market Data'!$A$2:$A$60,0))/Q18-1,"")</f>
        <v/>
      </c>
      <c r="T18" s="77">
        <f>IFERROR(INDEX('Market Data'!$B$2:$B$60,MATCH(EDATE(P18,6),'Market Data'!$A$2:$A$60,0))/Q18-1,"")</f>
        <v/>
      </c>
      <c r="U18" s="77">
        <f>IFERROR(INDEX('Market Data'!$B$2:$B$60,MATCH(EDATE(P18,9),'Market Data'!$A$2:$A$60,0))/Q18-1,"")</f>
        <v/>
      </c>
      <c r="V18" s="29">
        <f>IFERROR(MINIFS('Market Data'!$A$2:$A$60,'Market Data'!$A$2:$A$60,"&gt;"&amp;P18,'Market Data'!$D$2:$D$60,1),"")</f>
        <v/>
      </c>
      <c r="W18" s="32">
        <f>IF(V18="","",DATEDIF(P18,V18,"m"))</f>
        <v/>
      </c>
      <c r="X18" s="33" t="inlineStr">
        <is>
          <t>Candidate leading signal in power-constrained regime.</t>
        </is>
      </c>
    </row>
    <row r="19">
      <c r="A19" s="15" t="n">
        <v>18</v>
      </c>
      <c r="B19" s="23" t="n">
        <v>46056</v>
      </c>
      <c r="C19" s="24" t="inlineStr">
        <is>
          <t>Eaton</t>
        </is>
      </c>
      <c r="D19" s="24" t="inlineStr">
        <is>
          <t>ETN</t>
        </is>
      </c>
      <c r="E19" s="24" t="inlineStr">
        <is>
          <t>Electrical</t>
        </is>
      </c>
      <c r="F19" s="24" t="inlineStr">
        <is>
          <t>Upstream physical</t>
        </is>
      </c>
      <c r="G19" s="25" t="n">
        <v>1</v>
      </c>
      <c r="H19" s="24" t="inlineStr">
        <is>
          <t>Power-constrained</t>
        </is>
      </c>
      <c r="I19" s="24" t="inlineStr">
        <is>
          <t>Data-center electrical orders explode</t>
        </is>
      </c>
      <c r="J19" s="24" t="inlineStr">
        <is>
          <t>Q4 data-center orders +~200% YoY; revenue +~40%; backlog +31%</t>
        </is>
      </c>
      <c r="K19" s="26" t="n">
        <v>5</v>
      </c>
      <c r="L19" s="27" t="inlineStr">
        <is>
          <t>Electrical / power distribution</t>
        </is>
      </c>
      <c r="M19" s="27" t="n">
        <v>3</v>
      </c>
      <c r="N19" s="27" t="n">
        <v>12</v>
      </c>
      <c r="O19" s="28" t="inlineStr">
        <is>
          <t>https://www.eaton.com/content/dam/eaton/company/investor-relations/quarterly-earnings/filings/2025/q4/4Q-2025-analyst-presentation.pdf</t>
        </is>
      </c>
      <c r="P19" s="29">
        <f>DATE(YEAR(B19),MONTH(B19),1)</f>
        <v/>
      </c>
      <c r="Q19" s="76">
        <f>IFERROR(INDEX('Market Data'!$B$2:$B$60,MATCH(P19,'Market Data'!$A$2:$A$60,0)),"")</f>
        <v/>
      </c>
      <c r="R19" s="77">
        <f>IFERROR(INDEX('Market Data'!$B$2:$B$60,MATCH(EDATE(P19,1),'Market Data'!$A$2:$A$60,0))/Q19-1,"")</f>
        <v/>
      </c>
      <c r="S19" s="77">
        <f>IFERROR(INDEX('Market Data'!$B$2:$B$60,MATCH(EDATE(P19,3),'Market Data'!$A$2:$A$60,0))/Q19-1,"")</f>
        <v/>
      </c>
      <c r="T19" s="77">
        <f>IFERROR(INDEX('Market Data'!$B$2:$B$60,MATCH(EDATE(P19,6),'Market Data'!$A$2:$A$60,0))/Q19-1,"")</f>
        <v/>
      </c>
      <c r="U19" s="77">
        <f>IFERROR(INDEX('Market Data'!$B$2:$B$60,MATCH(EDATE(P19,9),'Market Data'!$A$2:$A$60,0))/Q19-1,"")</f>
        <v/>
      </c>
      <c r="V19" s="29">
        <f>IFERROR(MINIFS('Market Data'!$A$2:$A$60,'Market Data'!$A$2:$A$60,"&gt;"&amp;P19,'Market Data'!$D$2:$D$60,1),"")</f>
        <v/>
      </c>
      <c r="W19" s="32">
        <f>IF(V19="","",DATEDIF(P19,V19,"m"))</f>
        <v/>
      </c>
      <c r="X19" s="33" t="inlineStr">
        <is>
          <t>Candidate leading signal in power-constrained regime.</t>
        </is>
      </c>
    </row>
    <row r="20">
      <c r="A20" s="15" t="n">
        <v>19</v>
      </c>
      <c r="B20" s="23" t="n">
        <v>46064</v>
      </c>
      <c r="C20" s="24" t="inlineStr">
        <is>
          <t>Vertiv</t>
        </is>
      </c>
      <c r="D20" s="24" t="inlineStr">
        <is>
          <t>VRT</t>
        </is>
      </c>
      <c r="E20" s="24" t="inlineStr">
        <is>
          <t>Cooling / power</t>
        </is>
      </c>
      <c r="F20" s="24" t="inlineStr">
        <is>
          <t>Upstream physical</t>
        </is>
      </c>
      <c r="G20" s="25" t="n">
        <v>1</v>
      </c>
      <c r="H20" s="24" t="inlineStr">
        <is>
          <t>Power-constrained</t>
        </is>
      </c>
      <c r="I20" s="24" t="inlineStr">
        <is>
          <t>Critical-infrastructure order explosion</t>
        </is>
      </c>
      <c r="J20" s="24" t="inlineStr">
        <is>
          <t>Q4 orders +252% YoY / +117% sequential; B2B ~2.9x; backlog $15B</t>
        </is>
      </c>
      <c r="K20" s="26" t="n">
        <v>5</v>
      </c>
      <c r="L20" s="27" t="inlineStr">
        <is>
          <t>Cooling / UPS / power</t>
        </is>
      </c>
      <c r="M20" s="27" t="n">
        <v>3</v>
      </c>
      <c r="N20" s="27" t="n">
        <v>12</v>
      </c>
      <c r="O20" s="28" t="inlineStr">
        <is>
          <t>https://investors.vertiv.com/news/news-details/2026/Vertiv-Reports-Strong-Fourth-Quarter-with-Organic-Orders-Growth-of-252-and-Diluted-EPS-Growth-of-200-Adjusted-Diluted-EPS-37/</t>
        </is>
      </c>
      <c r="P20" s="29">
        <f>DATE(YEAR(B20),MONTH(B20),1)</f>
        <v/>
      </c>
      <c r="Q20" s="76">
        <f>IFERROR(INDEX('Market Data'!$B$2:$B$60,MATCH(P20,'Market Data'!$A$2:$A$60,0)),"")</f>
        <v/>
      </c>
      <c r="R20" s="77">
        <f>IFERROR(INDEX('Market Data'!$B$2:$B$60,MATCH(EDATE(P20,1),'Market Data'!$A$2:$A$60,0))/Q20-1,"")</f>
        <v/>
      </c>
      <c r="S20" s="77">
        <f>IFERROR(INDEX('Market Data'!$B$2:$B$60,MATCH(EDATE(P20,3),'Market Data'!$A$2:$A$60,0))/Q20-1,"")</f>
        <v/>
      </c>
      <c r="T20" s="77">
        <f>IFERROR(INDEX('Market Data'!$B$2:$B$60,MATCH(EDATE(P20,6),'Market Data'!$A$2:$A$60,0))/Q20-1,"")</f>
        <v/>
      </c>
      <c r="U20" s="77">
        <f>IFERROR(INDEX('Market Data'!$B$2:$B$60,MATCH(EDATE(P20,9),'Market Data'!$A$2:$A$60,0))/Q20-1,"")</f>
        <v/>
      </c>
      <c r="V20" s="29">
        <f>IFERROR(MINIFS('Market Data'!$A$2:$A$60,'Market Data'!$A$2:$A$60,"&gt;"&amp;P20,'Market Data'!$D$2:$D$60,1),"")</f>
        <v/>
      </c>
      <c r="W20" s="32">
        <f>IF(V20="","",DATEDIF(P20,V20,"m"))</f>
        <v/>
      </c>
      <c r="X20" s="33" t="inlineStr">
        <is>
          <t>Candidate leading signal in power-constrained regime.</t>
        </is>
      </c>
    </row>
    <row r="21">
      <c r="A21" s="15" t="n">
        <v>20</v>
      </c>
      <c r="B21" s="23" t="n">
        <v>46079</v>
      </c>
      <c r="C21" s="24" t="inlineStr">
        <is>
          <t>EMCOR</t>
        </is>
      </c>
      <c r="D21" s="24" t="inlineStr">
        <is>
          <t>EME</t>
        </is>
      </c>
      <c r="E21" s="24" t="inlineStr">
        <is>
          <t>Construction / MEP</t>
        </is>
      </c>
      <c r="F21" s="24" t="inlineStr">
        <is>
          <t>Upstream physical</t>
        </is>
      </c>
      <c r="G21" s="25" t="n">
        <v>0</v>
      </c>
      <c r="H21" s="24" t="inlineStr">
        <is>
          <t>Power-constrained</t>
        </is>
      </c>
      <c r="I21" s="24" t="inlineStr">
        <is>
          <t>Construction backlog hits record; network/communications led growth</t>
        </is>
      </c>
      <c r="J21" s="24" t="inlineStr">
        <is>
          <t>RPO $13.25B, +31.2% YoY; data-center construction a major 2025 growth driver</t>
        </is>
      </c>
      <c r="K21" s="26" t="n">
        <v>3</v>
      </c>
      <c r="L21" s="27" t="inlineStr">
        <is>
          <t>MEP / construction</t>
        </is>
      </c>
      <c r="M21" s="27" t="n">
        <v>6</v>
      </c>
      <c r="N21" s="27" t="n">
        <v>18</v>
      </c>
      <c r="O21" s="28" t="inlineStr">
        <is>
          <t>https://emcorgroup.com/investor-relations/press-releases/2026-news/emcor-group-inc-reports-fourth-quarter-and-full-year-2025-results</t>
        </is>
      </c>
      <c r="P21" s="29">
        <f>DATE(YEAR(B21),MONTH(B21),1)</f>
        <v/>
      </c>
      <c r="Q21" s="76">
        <f>IFERROR(INDEX('Market Data'!$B$2:$B$60,MATCH(P21,'Market Data'!$A$2:$A$60,0)),"")</f>
        <v/>
      </c>
      <c r="R21" s="77">
        <f>IFERROR(INDEX('Market Data'!$B$2:$B$60,MATCH(EDATE(P21,1),'Market Data'!$A$2:$A$60,0))/Q21-1,"")</f>
        <v/>
      </c>
      <c r="S21" s="77">
        <f>IFERROR(INDEX('Market Data'!$B$2:$B$60,MATCH(EDATE(P21,3),'Market Data'!$A$2:$A$60,0))/Q21-1,"")</f>
        <v/>
      </c>
      <c r="T21" s="77">
        <f>IFERROR(INDEX('Market Data'!$B$2:$B$60,MATCH(EDATE(P21,6),'Market Data'!$A$2:$A$60,0))/Q21-1,"")</f>
        <v/>
      </c>
      <c r="U21" s="77">
        <f>IFERROR(INDEX('Market Data'!$B$2:$B$60,MATCH(EDATE(P21,9),'Market Data'!$A$2:$A$60,0))/Q21-1,"")</f>
        <v/>
      </c>
      <c r="V21" s="29">
        <f>IFERROR(MINIFS('Market Data'!$A$2:$A$60,'Market Data'!$A$2:$A$60,"&gt;"&amp;P21,'Market Data'!$D$2:$D$60,1),"")</f>
        <v/>
      </c>
      <c r="W21" s="32">
        <f>IF(V21="","",DATEDIF(P21,V21,"m"))</f>
        <v/>
      </c>
      <c r="X21" s="33" t="inlineStr">
        <is>
          <t>Candidate leading signal in power-constrained regime.</t>
        </is>
      </c>
    </row>
    <row r="22">
      <c r="A22" s="15" t="n">
        <v>21</v>
      </c>
      <c r="B22" s="23" t="n">
        <v>46147</v>
      </c>
      <c r="C22" s="24" t="inlineStr">
        <is>
          <t>Eaton</t>
        </is>
      </c>
      <c r="D22" s="24" t="inlineStr">
        <is>
          <t>ETN</t>
        </is>
      </c>
      <c r="E22" s="24" t="inlineStr">
        <is>
          <t>Electrical / cooling</t>
        </is>
      </c>
      <c r="F22" s="24" t="inlineStr">
        <is>
          <t>Confirmation</t>
        </is>
      </c>
      <c r="G22" s="25" t="n">
        <v>0</v>
      </c>
      <c r="H22" s="24" t="inlineStr">
        <is>
          <t>Power-constrained</t>
        </is>
      </c>
      <c r="I22" s="24" t="inlineStr">
        <is>
          <t>Data-center orders still compounding after SOXX breakout began</t>
        </is>
      </c>
      <c r="J22" s="24" t="inlineStr">
        <is>
          <t>Q1 data-center orders +~240% YoY; revenue +~50%</t>
        </is>
      </c>
      <c r="K22" s="26" t="n">
        <v>5</v>
      </c>
      <c r="L22" s="27" t="inlineStr">
        <is>
          <t>Electrical / power distribution</t>
        </is>
      </c>
      <c r="M22" s="27" t="n">
        <v>0</v>
      </c>
      <c r="N22" s="27" t="n">
        <v>9</v>
      </c>
      <c r="O22" s="28" t="inlineStr">
        <is>
          <t>https://www.eaton.com/content/dam/eaton/company/investor-relations/quarterly-earnings/filings/2026/q1/q1-2026-analyst-presentation.pdf</t>
        </is>
      </c>
      <c r="P22" s="29">
        <f>DATE(YEAR(B22),MONTH(B22),1)</f>
        <v/>
      </c>
      <c r="Q22" s="76">
        <f>IFERROR(INDEX('Market Data'!$B$2:$B$60,MATCH(P22,'Market Data'!$A$2:$A$60,0)),"")</f>
        <v/>
      </c>
      <c r="R22" s="77">
        <f>IFERROR(INDEX('Market Data'!$B$2:$B$60,MATCH(EDATE(P22,1),'Market Data'!$A$2:$A$60,0))/Q22-1,"")</f>
        <v/>
      </c>
      <c r="S22" s="77">
        <f>IFERROR(INDEX('Market Data'!$B$2:$B$60,MATCH(EDATE(P22,3),'Market Data'!$A$2:$A$60,0))/Q22-1,"")</f>
        <v/>
      </c>
      <c r="T22" s="77">
        <f>IFERROR(INDEX('Market Data'!$B$2:$B$60,MATCH(EDATE(P22,6),'Market Data'!$A$2:$A$60,0))/Q22-1,"")</f>
        <v/>
      </c>
      <c r="U22" s="77">
        <f>IFERROR(INDEX('Market Data'!$B$2:$B$60,MATCH(EDATE(P22,9),'Market Data'!$A$2:$A$60,0))/Q22-1,"")</f>
        <v/>
      </c>
      <c r="V22" s="29">
        <f>IFERROR(MINIFS('Market Data'!$A$2:$A$60,'Market Data'!$A$2:$A$60,"&gt;"&amp;P22,'Market Data'!$D$2:$D$60,1),"")</f>
        <v/>
      </c>
      <c r="W22" s="32">
        <f>IF(V22="","",DATEDIF(P22,V22,"m"))</f>
        <v/>
      </c>
      <c r="X22" s="33" t="inlineStr">
        <is>
          <t>Late confirmation / revenue stage; not treated as a leading backtest event.</t>
        </is>
      </c>
    </row>
    <row r="23">
      <c r="A23" s="15" t="n">
        <v>22</v>
      </c>
      <c r="B23" s="23" t="n">
        <v>46170</v>
      </c>
      <c r="C23" s="24" t="inlineStr">
        <is>
          <t>Dell</t>
        </is>
      </c>
      <c r="D23" s="24" t="inlineStr">
        <is>
          <t>DELL</t>
        </is>
      </c>
      <c r="E23" s="24" t="inlineStr">
        <is>
          <t>Servers / racks</t>
        </is>
      </c>
      <c r="F23" s="24" t="inlineStr">
        <is>
          <t>Confirmation</t>
        </is>
      </c>
      <c r="G23" s="25" t="n">
        <v>0</v>
      </c>
      <c r="H23" s="24" t="inlineStr">
        <is>
          <t>Power-constrained</t>
        </is>
      </c>
      <c r="I23" s="24" t="inlineStr">
        <is>
          <t>Server orders/revenue confirm hardware monetization</t>
        </is>
      </c>
      <c r="J23" s="24" t="inlineStr">
        <is>
          <t>AI orders $24.4B; AI server revenue $16.1B</t>
        </is>
      </c>
      <c r="K23" s="26" t="n">
        <v>5</v>
      </c>
      <c r="L23" s="27" t="inlineStr">
        <is>
          <t>Server / rack orders</t>
        </is>
      </c>
      <c r="M23" s="27" t="n">
        <v>0</v>
      </c>
      <c r="N23" s="27" t="n">
        <v>3</v>
      </c>
      <c r="O23" s="28" t="inlineStr">
        <is>
          <t>https://www.dell.com/en-us/dt/corporate/newsroom/announcements/detailpage.press-releases~usa~2026~05~dell-technologies-delivers-first-quarter-fiscal-2027-financial-results.htm</t>
        </is>
      </c>
      <c r="P23" s="29">
        <f>DATE(YEAR(B23),MONTH(B23),1)</f>
        <v/>
      </c>
      <c r="Q23" s="76">
        <f>IFERROR(INDEX('Market Data'!$B$2:$B$60,MATCH(P23,'Market Data'!$A$2:$A$60,0)),"")</f>
        <v/>
      </c>
      <c r="R23" s="77">
        <f>IFERROR(INDEX('Market Data'!$B$2:$B$60,MATCH(EDATE(P23,1),'Market Data'!$A$2:$A$60,0))/Q23-1,"")</f>
        <v/>
      </c>
      <c r="S23" s="77">
        <f>IFERROR(INDEX('Market Data'!$B$2:$B$60,MATCH(EDATE(P23,3),'Market Data'!$A$2:$A$60,0))/Q23-1,"")</f>
        <v/>
      </c>
      <c r="T23" s="77">
        <f>IFERROR(INDEX('Market Data'!$B$2:$B$60,MATCH(EDATE(P23,6),'Market Data'!$A$2:$A$60,0))/Q23-1,"")</f>
        <v/>
      </c>
      <c r="U23" s="77">
        <f>IFERROR(INDEX('Market Data'!$B$2:$B$60,MATCH(EDATE(P23,9),'Market Data'!$A$2:$A$60,0))/Q23-1,"")</f>
        <v/>
      </c>
      <c r="V23" s="29">
        <f>IFERROR(MINIFS('Market Data'!$A$2:$A$60,'Market Data'!$A$2:$A$60,"&gt;"&amp;P23,'Market Data'!$D$2:$D$60,1),"")</f>
        <v/>
      </c>
      <c r="W23" s="32">
        <f>IF(V23="","",DATEDIF(P23,V23,"m"))</f>
        <v/>
      </c>
      <c r="X23" s="33" t="inlineStr">
        <is>
          <t>Late confirmation / revenue stage; not treated as a leading backtest event.</t>
        </is>
      </c>
    </row>
    <row r="24">
      <c r="A24" s="15" t="n">
        <v>23</v>
      </c>
      <c r="B24" s="23" t="n">
        <v>46266</v>
      </c>
      <c r="C24" s="24" t="inlineStr">
        <is>
          <t>Dell</t>
        </is>
      </c>
      <c r="D24" s="24" t="inlineStr">
        <is>
          <t>DELL</t>
        </is>
      </c>
      <c r="E24" s="24" t="inlineStr">
        <is>
          <t>Servers / racks</t>
        </is>
      </c>
      <c r="F24" s="24" t="inlineStr">
        <is>
          <t>Current late-stage confirmation</t>
        </is>
      </c>
      <c r="G24" s="25" t="n">
        <v>0</v>
      </c>
      <c r="H24" s="24" t="inlineStr">
        <is>
          <t>Current</t>
        </is>
      </c>
      <c r="I24" s="24" t="inlineStr">
        <is>
          <t>Current cycle is already deep into server monetization</t>
        </is>
      </c>
      <c r="J24" s="24" t="inlineStr">
        <is>
          <t>AI orders $60.9B; AI server revenue $16.4B; backlog $95B</t>
        </is>
      </c>
      <c r="K24" s="26" t="n">
        <v>5</v>
      </c>
      <c r="L24" s="27" t="inlineStr">
        <is>
          <t>Server / rack orders</t>
        </is>
      </c>
      <c r="M24" s="27" t="n">
        <v>0</v>
      </c>
      <c r="N24" s="27" t="n">
        <v>3</v>
      </c>
      <c r="O24" s="28" t="inlineStr">
        <is>
          <t>https://www.dell.com/en-us/dt/corporate/newsroom/announcements/detailpage.press-releases~usa~2026~09~dell-technologies-delivers-second-quarter-fiscal-2027-financial-results.htm</t>
        </is>
      </c>
      <c r="P24" s="29">
        <f>DATE(YEAR(B24),MONTH(B24),1)</f>
        <v/>
      </c>
      <c r="Q24" s="76">
        <f>IFERROR(INDEX('Market Data'!$B$2:$B$60,MATCH(P24,'Market Data'!$A$2:$A$60,0)),"")</f>
        <v/>
      </c>
      <c r="R24" s="77">
        <f>IFERROR(INDEX('Market Data'!$B$2:$B$60,MATCH(EDATE(P24,1),'Market Data'!$A$2:$A$60,0))/Q24-1,"")</f>
        <v/>
      </c>
      <c r="S24" s="77">
        <f>IFERROR(INDEX('Market Data'!$B$2:$B$60,MATCH(EDATE(P24,3),'Market Data'!$A$2:$A$60,0))/Q24-1,"")</f>
        <v/>
      </c>
      <c r="T24" s="77">
        <f>IFERROR(INDEX('Market Data'!$B$2:$B$60,MATCH(EDATE(P24,6),'Market Data'!$A$2:$A$60,0))/Q24-1,"")</f>
        <v/>
      </c>
      <c r="U24" s="77">
        <f>IFERROR(INDEX('Market Data'!$B$2:$B$60,MATCH(EDATE(P24,9),'Market Data'!$A$2:$A$60,0))/Q24-1,"")</f>
        <v/>
      </c>
      <c r="V24" s="29">
        <f>IFERROR(MINIFS('Market Data'!$A$2:$A$60,'Market Data'!$A$2:$A$60,"&gt;"&amp;P24,'Market Data'!$D$2:$D$60,1),"")</f>
        <v/>
      </c>
      <c r="W24" s="32">
        <f>IF(V24="","",DATEDIF(P24,V24,"m"))</f>
        <v/>
      </c>
      <c r="X24" s="33" t="inlineStr">
        <is>
          <t>Late confirmation / revenue stage; not treated as a leading backtest event.</t>
        </is>
      </c>
    </row>
  </sheetData>
  <autoFilter ref="A1:X24"/>
  <conditionalFormatting sqref="R2:U24">
    <cfRule type="colorScale" priority="1">
      <colorScale>
        <cfvo type="num" val="-0.2"/>
        <cfvo type="num" val="0"/>
        <cfvo type="num" val="0.6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A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1">
      <c r="A1" s="34" t="inlineStr">
        <is>
          <t>Physical Contract → Chip Revenue → Compute Revenue Clock</t>
        </is>
      </c>
    </row>
    <row r="2">
      <c r="A2" s="2" t="inlineStr">
        <is>
          <t>The stages overlap. The model is a timing framework anchored to public supplier lead-times, not a deterministic sequence.</t>
        </is>
      </c>
    </row>
    <row r="4" ht="38" customHeight="1">
      <c r="A4" s="4" t="inlineStr">
        <is>
          <t>#</t>
        </is>
      </c>
      <c r="B4" s="4" t="inlineStr">
        <is>
          <t>Stage</t>
        </is>
      </c>
      <c r="C4" s="4" t="inlineStr">
        <is>
          <t>Public Observable</t>
        </is>
      </c>
      <c r="D4" s="4" t="inlineStr">
        <is>
          <t>Lead to Compute Live Min (mo)</t>
        </is>
      </c>
      <c r="E4" s="4" t="inlineStr">
        <is>
          <t>Lead to Compute Live Max (mo)</t>
        </is>
      </c>
      <c r="F4" s="4" t="inlineStr">
        <is>
          <t>Lead to Chip Revenue Min (mo)</t>
        </is>
      </c>
      <c r="G4" s="4" t="inlineStr">
        <is>
          <t>Lead to Chip Revenue Max (mo)</t>
        </is>
      </c>
      <c r="H4" s="4" t="inlineStr">
        <is>
          <t>Research Read</t>
        </is>
      </c>
    </row>
    <row r="5">
      <c r="A5" s="35" t="inlineStr">
        <is>
          <t>1</t>
        </is>
      </c>
      <c r="B5" s="36" t="inlineStr">
        <is>
          <t>Generation / utility commitment</t>
        </is>
      </c>
      <c r="C5" s="36" t="inlineStr">
        <is>
          <t>PPA, utility service, behind-the-meter generation contract, turbine/genset PO</t>
        </is>
      </c>
      <c r="D5" s="27" t="n">
        <v>12</v>
      </c>
      <c r="E5" s="27" t="n">
        <v>36</v>
      </c>
      <c r="F5" s="27" t="n">
        <v>6</v>
      </c>
      <c r="G5" s="27" t="n">
        <v>18</v>
      </c>
      <c r="H5" s="36" t="inlineStr">
        <is>
          <t>Earliest physical de-risking. Direct BTM can be faster than grid projects. CAT Monarch gives an explicit 8–19 month equipment-delivery window plus commissioning.</t>
        </is>
      </c>
    </row>
    <row r="6">
      <c r="A6" s="35" t="inlineStr">
        <is>
          <t>2</t>
        </is>
      </c>
      <c r="B6" s="36" t="inlineStr">
        <is>
          <t>MEP / construction award</t>
        </is>
      </c>
      <c r="C6" s="36" t="inlineStr">
        <is>
          <t>EPC award, RPO/backlog, electrical/mechanical construction start</t>
        </is>
      </c>
      <c r="D6" s="27" t="n">
        <v>9</v>
      </c>
      <c r="E6" s="27" t="n">
        <v>24</v>
      </c>
      <c r="F6" s="27" t="n">
        <v>3</v>
      </c>
      <c r="G6" s="27" t="n">
        <v>15</v>
      </c>
      <c r="H6" s="36" t="inlineStr">
        <is>
          <t>Construction often spans multiple years; useful when data-center-specific, less useful when mixed end markets.</t>
        </is>
      </c>
    </row>
    <row r="7">
      <c r="A7" s="35" t="inlineStr">
        <is>
          <t>3</t>
        </is>
      </c>
      <c r="B7" s="36" t="inlineStr">
        <is>
          <t>Electrical + cooling orders</t>
        </is>
      </c>
      <c r="C7" s="36" t="inlineStr">
        <is>
          <t>Switchgear, transformers, UPS, liquid cooling, busway, power distribution</t>
        </is>
      </c>
      <c r="D7" s="27" t="n">
        <v>9</v>
      </c>
      <c r="E7" s="27" t="n">
        <v>18</v>
      </c>
      <c r="F7" s="27" t="n">
        <v>3</v>
      </c>
      <c r="G7" s="27" t="n">
        <v>12</v>
      </c>
      <c r="H7" s="36" t="inlineStr">
        <is>
          <t>Potentially the best public leading signal in the power-constrained regime. Vertiv says most 2025 backlog is expected to ship within 12–18 months.</t>
        </is>
      </c>
    </row>
    <row r="8">
      <c r="A8" s="35" t="inlineStr">
        <is>
          <t>4</t>
        </is>
      </c>
      <c r="B8" s="36" t="inlineStr">
        <is>
          <t>HBM / foundry / packaging allocation</t>
        </is>
      </c>
      <c r="C8" s="36" t="inlineStr">
        <is>
          <t>HBM agreements, wafer reservations, CoWoS capacity commitments</t>
        </is>
      </c>
      <c r="D8" s="27" t="n">
        <v>6</v>
      </c>
      <c r="E8" s="27" t="n">
        <v>18</v>
      </c>
      <c r="F8" s="27" t="n">
        <v>0</v>
      </c>
      <c r="G8" s="27" t="n">
        <v>12</v>
      </c>
      <c r="H8" s="36" t="inlineStr">
        <is>
          <t>Hardware procurement overlaps infrastructure build; not strictly sequential. SK hynix/Micron show customers reserve HBM roughly a year ahead.</t>
        </is>
      </c>
    </row>
    <row r="9">
      <c r="A9" s="35" t="inlineStr">
        <is>
          <t>5</t>
        </is>
      </c>
      <c r="B9" s="36" t="inlineStr">
        <is>
          <t>Server / rack order</t>
        </is>
      </c>
      <c r="C9" s="36" t="inlineStr">
        <is>
          <t>AI-server PO, rack integration, ODM backlog</t>
        </is>
      </c>
      <c r="D9" s="27" t="n">
        <v>1</v>
      </c>
      <c r="E9" s="27" t="n">
        <v>6</v>
      </c>
      <c r="F9" s="27" t="n">
        <v>0</v>
      </c>
      <c r="G9" s="27" t="n">
        <v>3</v>
      </c>
      <c r="H9" s="36" t="inlineStr">
        <is>
          <t>Late bridge from component allocation to delivered systems. Dell backlog/orders provide observable confirmation.</t>
        </is>
      </c>
    </row>
    <row r="10">
      <c r="A10" s="35" t="inlineStr">
        <is>
          <t>6</t>
        </is>
      </c>
      <c r="B10" s="36" t="inlineStr">
        <is>
          <t>Chip vendor revenue</t>
        </is>
      </c>
      <c r="C10" s="36" t="inlineStr">
        <is>
          <t>Accelerator, memory, networking and foundry revenue recognition</t>
        </is>
      </c>
      <c r="D10" s="27" t="n">
        <v>0</v>
      </c>
      <c r="E10" s="27" t="n">
        <v>6</v>
      </c>
      <c r="F10" s="27" t="n">
        <v>0</v>
      </c>
      <c r="G10" s="27" t="n">
        <v>0</v>
      </c>
      <c r="H10" s="36" t="inlineStr">
        <is>
          <t>Usually recognized before or around server delivery/commissioning, not after the data center is fully operational.</t>
        </is>
      </c>
    </row>
    <row r="11">
      <c r="A11" s="35" t="inlineStr">
        <is>
          <t>7</t>
        </is>
      </c>
      <c r="B11" s="36" t="inlineStr">
        <is>
          <t>Commissioning / compute revenue</t>
        </is>
      </c>
      <c r="C11" s="36" t="inlineStr">
        <is>
          <t>Power-on, rack burn-in, customer acceptance, cloud/compute billing</t>
        </is>
      </c>
      <c r="D11" s="27" t="n">
        <v>0</v>
      </c>
      <c r="E11" s="27" t="n">
        <v>3</v>
      </c>
      <c r="F11" s="27" t="n">
        <v>0</v>
      </c>
      <c r="G11" s="27" t="n">
        <v>0</v>
      </c>
      <c r="H11" s="36" t="inlineStr">
        <is>
          <t>T = compute live. Compute revenue begins only after power + cooling + systems are ready.</t>
        </is>
      </c>
    </row>
    <row r="14" ht="20" customHeight="1">
      <c r="A14" s="3" t="inlineStr">
        <is>
          <t>Relative timeline (T = compute live)</t>
        </is>
      </c>
    </row>
    <row r="15">
      <c r="A15" s="37" t="inlineStr">
        <is>
          <t>Stage</t>
        </is>
      </c>
      <c r="B15" s="37" t="inlineStr">
        <is>
          <t>Earliest</t>
        </is>
      </c>
      <c r="C15" s="37" t="inlineStr">
        <is>
          <t>Latest</t>
        </is>
      </c>
      <c r="D15" s="38" t="inlineStr">
        <is>
          <t>T-24</t>
        </is>
      </c>
      <c r="E15" s="38" t="inlineStr">
        <is>
          <t>T-23</t>
        </is>
      </c>
      <c r="F15" s="38" t="inlineStr">
        <is>
          <t>T-22</t>
        </is>
      </c>
      <c r="G15" s="38" t="inlineStr">
        <is>
          <t>T-21</t>
        </is>
      </c>
      <c r="H15" s="38" t="inlineStr">
        <is>
          <t>T-20</t>
        </is>
      </c>
      <c r="I15" s="38" t="inlineStr">
        <is>
          <t>T-19</t>
        </is>
      </c>
      <c r="J15" s="38" t="inlineStr">
        <is>
          <t>T-18</t>
        </is>
      </c>
      <c r="K15" s="38" t="inlineStr">
        <is>
          <t>T-17</t>
        </is>
      </c>
      <c r="L15" s="38" t="inlineStr">
        <is>
          <t>T-16</t>
        </is>
      </c>
      <c r="M15" s="38" t="inlineStr">
        <is>
          <t>T-15</t>
        </is>
      </c>
      <c r="N15" s="38" t="inlineStr">
        <is>
          <t>T-14</t>
        </is>
      </c>
      <c r="O15" s="38" t="inlineStr">
        <is>
          <t>T-13</t>
        </is>
      </c>
      <c r="P15" s="38" t="inlineStr">
        <is>
          <t>T-12</t>
        </is>
      </c>
      <c r="Q15" s="38" t="inlineStr">
        <is>
          <t>T-11</t>
        </is>
      </c>
      <c r="R15" s="38" t="inlineStr">
        <is>
          <t>T-10</t>
        </is>
      </c>
      <c r="S15" s="38" t="inlineStr">
        <is>
          <t>T-9</t>
        </is>
      </c>
      <c r="T15" s="38" t="inlineStr">
        <is>
          <t>T-8</t>
        </is>
      </c>
      <c r="U15" s="38" t="inlineStr">
        <is>
          <t>T-7</t>
        </is>
      </c>
      <c r="V15" s="38" t="inlineStr">
        <is>
          <t>T-6</t>
        </is>
      </c>
      <c r="W15" s="38" t="inlineStr">
        <is>
          <t>T-5</t>
        </is>
      </c>
      <c r="X15" s="38" t="inlineStr">
        <is>
          <t>T-4</t>
        </is>
      </c>
      <c r="Y15" s="38" t="inlineStr">
        <is>
          <t>T-3</t>
        </is>
      </c>
      <c r="Z15" s="38" t="inlineStr">
        <is>
          <t>T-2</t>
        </is>
      </c>
      <c r="AA15" s="38" t="inlineStr">
        <is>
          <t>T-1</t>
        </is>
      </c>
      <c r="AB15" s="38" t="inlineStr">
        <is>
          <t>T0</t>
        </is>
      </c>
      <c r="AC15" s="38" t="inlineStr">
        <is>
          <t>T+1</t>
        </is>
      </c>
      <c r="AD15" s="38" t="inlineStr">
        <is>
          <t>T+2</t>
        </is>
      </c>
      <c r="AE15" s="38" t="inlineStr">
        <is>
          <t>T+3</t>
        </is>
      </c>
    </row>
    <row r="16" ht="18" customHeight="1">
      <c r="A16" s="39" t="inlineStr">
        <is>
          <t>Power / generation</t>
        </is>
      </c>
      <c r="B16" s="6" t="n">
        <v>-24</v>
      </c>
      <c r="C16" s="6" t="n">
        <v>-9</v>
      </c>
      <c r="D16" s="40" t="inlineStr">
        <is>
          <t>●</t>
        </is>
      </c>
      <c r="E16" s="40" t="inlineStr">
        <is>
          <t>●</t>
        </is>
      </c>
      <c r="F16" s="40" t="inlineStr">
        <is>
          <t>●</t>
        </is>
      </c>
      <c r="G16" s="40" t="inlineStr">
        <is>
          <t>●</t>
        </is>
      </c>
      <c r="H16" s="40" t="inlineStr">
        <is>
          <t>●</t>
        </is>
      </c>
      <c r="I16" s="40" t="inlineStr">
        <is>
          <t>●</t>
        </is>
      </c>
      <c r="J16" s="40" t="inlineStr">
        <is>
          <t>●</t>
        </is>
      </c>
      <c r="K16" s="40" t="inlineStr">
        <is>
          <t>●</t>
        </is>
      </c>
      <c r="L16" s="40" t="inlineStr">
        <is>
          <t>●</t>
        </is>
      </c>
      <c r="M16" s="40" t="inlineStr">
        <is>
          <t>●</t>
        </is>
      </c>
      <c r="N16" s="40" t="inlineStr">
        <is>
          <t>●</t>
        </is>
      </c>
      <c r="O16" s="40" t="inlineStr">
        <is>
          <t>●</t>
        </is>
      </c>
      <c r="P16" s="40" t="inlineStr">
        <is>
          <t>●</t>
        </is>
      </c>
      <c r="Q16" s="40" t="inlineStr">
        <is>
          <t>●</t>
        </is>
      </c>
      <c r="R16" s="40" t="inlineStr">
        <is>
          <t>●</t>
        </is>
      </c>
      <c r="S16" s="40" t="inlineStr">
        <is>
          <t>●</t>
        </is>
      </c>
    </row>
    <row r="17" ht="18" customHeight="1">
      <c r="A17" s="39" t="inlineStr">
        <is>
          <t>MEP / construction</t>
        </is>
      </c>
      <c r="B17" s="6" t="n">
        <v>-18</v>
      </c>
      <c r="C17" s="6" t="n">
        <v>-6</v>
      </c>
      <c r="J17" s="41" t="inlineStr">
        <is>
          <t>●</t>
        </is>
      </c>
      <c r="K17" s="41" t="inlineStr">
        <is>
          <t>●</t>
        </is>
      </c>
      <c r="L17" s="41" t="inlineStr">
        <is>
          <t>●</t>
        </is>
      </c>
      <c r="M17" s="41" t="inlineStr">
        <is>
          <t>●</t>
        </is>
      </c>
      <c r="N17" s="41" t="inlineStr">
        <is>
          <t>●</t>
        </is>
      </c>
      <c r="O17" s="41" t="inlineStr">
        <is>
          <t>●</t>
        </is>
      </c>
      <c r="P17" s="41" t="inlineStr">
        <is>
          <t>●</t>
        </is>
      </c>
      <c r="Q17" s="41" t="inlineStr">
        <is>
          <t>●</t>
        </is>
      </c>
      <c r="R17" s="41" t="inlineStr">
        <is>
          <t>●</t>
        </is>
      </c>
      <c r="S17" s="41" t="inlineStr">
        <is>
          <t>●</t>
        </is>
      </c>
      <c r="T17" s="41" t="inlineStr">
        <is>
          <t>●</t>
        </is>
      </c>
      <c r="U17" s="41" t="inlineStr">
        <is>
          <t>●</t>
        </is>
      </c>
      <c r="V17" s="41" t="inlineStr">
        <is>
          <t>●</t>
        </is>
      </c>
    </row>
    <row r="18" ht="18" customHeight="1">
      <c r="A18" s="39" t="inlineStr">
        <is>
          <t>Electrical / cooling</t>
        </is>
      </c>
      <c r="B18" s="6" t="n">
        <v>-18</v>
      </c>
      <c r="C18" s="6" t="n">
        <v>-6</v>
      </c>
      <c r="J18" s="42" t="inlineStr">
        <is>
          <t>●</t>
        </is>
      </c>
      <c r="K18" s="42" t="inlineStr">
        <is>
          <t>●</t>
        </is>
      </c>
      <c r="L18" s="42" t="inlineStr">
        <is>
          <t>●</t>
        </is>
      </c>
      <c r="M18" s="42" t="inlineStr">
        <is>
          <t>●</t>
        </is>
      </c>
      <c r="N18" s="42" t="inlineStr">
        <is>
          <t>●</t>
        </is>
      </c>
      <c r="O18" s="42" t="inlineStr">
        <is>
          <t>●</t>
        </is>
      </c>
      <c r="P18" s="42" t="inlineStr">
        <is>
          <t>●</t>
        </is>
      </c>
      <c r="Q18" s="42" t="inlineStr">
        <is>
          <t>●</t>
        </is>
      </c>
      <c r="R18" s="42" t="inlineStr">
        <is>
          <t>●</t>
        </is>
      </c>
      <c r="S18" s="42" t="inlineStr">
        <is>
          <t>●</t>
        </is>
      </c>
      <c r="T18" s="42" t="inlineStr">
        <is>
          <t>●</t>
        </is>
      </c>
      <c r="U18" s="42" t="inlineStr">
        <is>
          <t>●</t>
        </is>
      </c>
      <c r="V18" s="42" t="inlineStr">
        <is>
          <t>●</t>
        </is>
      </c>
    </row>
    <row r="19" ht="18" customHeight="1">
      <c r="A19" s="39" t="inlineStr">
        <is>
          <t>HBM / foundry / packaging</t>
        </is>
      </c>
      <c r="B19" s="6" t="n">
        <v>-18</v>
      </c>
      <c r="C19" s="6" t="n">
        <v>-6</v>
      </c>
      <c r="J19" s="43" t="inlineStr">
        <is>
          <t>●</t>
        </is>
      </c>
      <c r="K19" s="43" t="inlineStr">
        <is>
          <t>●</t>
        </is>
      </c>
      <c r="L19" s="43" t="inlineStr">
        <is>
          <t>●</t>
        </is>
      </c>
      <c r="M19" s="43" t="inlineStr">
        <is>
          <t>●</t>
        </is>
      </c>
      <c r="N19" s="43" t="inlineStr">
        <is>
          <t>●</t>
        </is>
      </c>
      <c r="O19" s="43" t="inlineStr">
        <is>
          <t>●</t>
        </is>
      </c>
      <c r="P19" s="43" t="inlineStr">
        <is>
          <t>●</t>
        </is>
      </c>
      <c r="Q19" s="43" t="inlineStr">
        <is>
          <t>●</t>
        </is>
      </c>
      <c r="R19" s="43" t="inlineStr">
        <is>
          <t>●</t>
        </is>
      </c>
      <c r="S19" s="43" t="inlineStr">
        <is>
          <t>●</t>
        </is>
      </c>
      <c r="T19" s="43" t="inlineStr">
        <is>
          <t>●</t>
        </is>
      </c>
      <c r="U19" s="43" t="inlineStr">
        <is>
          <t>●</t>
        </is>
      </c>
      <c r="V19" s="43" t="inlineStr">
        <is>
          <t>●</t>
        </is>
      </c>
    </row>
    <row r="20" ht="18" customHeight="1">
      <c r="A20" s="39" t="inlineStr">
        <is>
          <t>Server / rack orders</t>
        </is>
      </c>
      <c r="B20" s="6" t="n">
        <v>-6</v>
      </c>
      <c r="C20" s="6" t="n">
        <v>-1</v>
      </c>
      <c r="V20" s="44" t="inlineStr">
        <is>
          <t>●</t>
        </is>
      </c>
      <c r="W20" s="44" t="inlineStr">
        <is>
          <t>●</t>
        </is>
      </c>
      <c r="X20" s="44" t="inlineStr">
        <is>
          <t>●</t>
        </is>
      </c>
      <c r="Y20" s="44" t="inlineStr">
        <is>
          <t>●</t>
        </is>
      </c>
      <c r="Z20" s="44" t="inlineStr">
        <is>
          <t>●</t>
        </is>
      </c>
      <c r="AA20" s="44" t="inlineStr">
        <is>
          <t>●</t>
        </is>
      </c>
    </row>
    <row r="21" ht="18" customHeight="1">
      <c r="A21" s="39" t="inlineStr">
        <is>
          <t>Chip vendor revenue</t>
        </is>
      </c>
      <c r="B21" s="6" t="n">
        <v>-6</v>
      </c>
      <c r="C21" s="6" t="n">
        <v>0</v>
      </c>
      <c r="V21" s="45" t="inlineStr">
        <is>
          <t>●</t>
        </is>
      </c>
      <c r="W21" s="45" t="inlineStr">
        <is>
          <t>●</t>
        </is>
      </c>
      <c r="X21" s="45" t="inlineStr">
        <is>
          <t>●</t>
        </is>
      </c>
      <c r="Y21" s="45" t="inlineStr">
        <is>
          <t>●</t>
        </is>
      </c>
      <c r="Z21" s="45" t="inlineStr">
        <is>
          <t>●</t>
        </is>
      </c>
      <c r="AA21" s="45" t="inlineStr">
        <is>
          <t>●</t>
        </is>
      </c>
      <c r="AB21" s="45" t="inlineStr">
        <is>
          <t>●</t>
        </is>
      </c>
    </row>
    <row r="22" ht="18" customHeight="1">
      <c r="A22" s="39" t="inlineStr">
        <is>
          <t>Commissioning</t>
        </is>
      </c>
      <c r="B22" s="6" t="n">
        <v>-2</v>
      </c>
      <c r="C22" s="6" t="n">
        <v>0</v>
      </c>
      <c r="Z22" s="42" t="inlineStr">
        <is>
          <t>●</t>
        </is>
      </c>
      <c r="AA22" s="42" t="inlineStr">
        <is>
          <t>●</t>
        </is>
      </c>
      <c r="AB22" s="42" t="inlineStr">
        <is>
          <t>●</t>
        </is>
      </c>
    </row>
    <row r="23" ht="18" customHeight="1">
      <c r="A23" s="39" t="inlineStr">
        <is>
          <t>Compute revenue</t>
        </is>
      </c>
      <c r="B23" s="6" t="n">
        <v>0</v>
      </c>
      <c r="C23" s="6" t="n">
        <v>3</v>
      </c>
      <c r="AB23" s="46" t="inlineStr">
        <is>
          <t>●</t>
        </is>
      </c>
      <c r="AC23" s="46" t="inlineStr">
        <is>
          <t>●</t>
        </is>
      </c>
      <c r="AD23" s="46" t="inlineStr">
        <is>
          <t>●</t>
        </is>
      </c>
      <c r="AE23" s="46" t="inlineStr">
        <is>
          <t>●</t>
        </is>
      </c>
    </row>
  </sheetData>
  <mergeCells count="3">
    <mergeCell ref="A2:H2"/>
    <mergeCell ref="A14:AE14"/>
    <mergeCell ref="A1:H1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P2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55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47" t="inlineStr">
        <is>
          <t>Exploratory Event Study: Do Physical Infrastructure Signals Lead SOXX?</t>
        </is>
      </c>
    </row>
    <row r="2">
      <c r="A2" s="17" t="inlineStr">
        <is>
          <t>Forward returns use event-month SOXX closes. Events are clustered and non-independent; results are hypothesis-generating, not causal evidence.</t>
        </is>
      </c>
    </row>
    <row r="4" ht="20" customHeight="1">
      <c r="A4" s="3" t="inlineStr">
        <is>
          <t>Summary statistics</t>
        </is>
      </c>
    </row>
    <row r="5">
      <c r="A5" s="4" t="inlineStr">
        <is>
          <t>Sample</t>
        </is>
      </c>
      <c r="B5" s="4" t="inlineStr">
        <is>
          <t>N</t>
        </is>
      </c>
      <c r="C5" s="4" t="inlineStr">
        <is>
          <t>Avg 1M</t>
        </is>
      </c>
      <c r="D5" s="4" t="inlineStr">
        <is>
          <t>Avg 3M</t>
        </is>
      </c>
      <c r="E5" s="4" t="inlineStr">
        <is>
          <t>Median 3M</t>
        </is>
      </c>
      <c r="F5" s="4" t="inlineStr">
        <is>
          <t>Avg 6M</t>
        </is>
      </c>
      <c r="G5" s="4" t="inlineStr">
        <is>
          <t>Median 6M</t>
        </is>
      </c>
      <c r="H5" s="4" t="inlineStr">
        <is>
          <t>Avg months to next &gt;=10% SOXX month</t>
        </is>
      </c>
    </row>
    <row r="6">
      <c r="A6" s="48" t="inlineStr">
        <is>
          <t>Demand-led</t>
        </is>
      </c>
      <c r="B6" s="6">
        <f>COUNTIFS('Supplier Signals'!$G$2:$G$100,1,'Supplier Signals'!$H$2:$H$100,"Demand-led")</f>
        <v/>
      </c>
      <c r="C6" s="70">
        <f>AVERAGEIFS('Supplier Signals'!$R$2:$R$100,'Supplier Signals'!$G$2:$G$100,1,'Supplier Signals'!$H$2:$H$100,"Demand-led")</f>
        <v/>
      </c>
      <c r="D6" s="70">
        <f>AVERAGEIFS('Supplier Signals'!$S$2:$S$100,'Supplier Signals'!$G$2:$G$100,1,'Supplier Signals'!$H$2:$H$100,"Demand-led")</f>
        <v/>
      </c>
      <c r="E6" s="70">
        <f>MEDIAN(M14:M27)</f>
        <v/>
      </c>
      <c r="F6" s="70">
        <f>AVERAGEIFS('Supplier Signals'!$T$2:$T$100,'Supplier Signals'!$G$2:$G$100,1,'Supplier Signals'!$H$2:$H$100,"Demand-led")</f>
        <v/>
      </c>
      <c r="G6" s="70">
        <f>MEDIAN(N14:N27)</f>
        <v/>
      </c>
      <c r="H6" s="71">
        <f>AVERAGEIFS('Supplier Signals'!$W$2:$W$100,'Supplier Signals'!$G$2:$G$100,1,'Supplier Signals'!$H$2:$H$100,"Demand-led")</f>
        <v/>
      </c>
    </row>
    <row r="7">
      <c r="A7" s="48" t="inlineStr">
        <is>
          <t>Transition</t>
        </is>
      </c>
      <c r="B7" s="6">
        <f>COUNTIFS('Supplier Signals'!$G$2:$G$100,1,'Supplier Signals'!$H$2:$H$100,"Transition")</f>
        <v/>
      </c>
      <c r="C7" s="70">
        <f>AVERAGEIFS('Supplier Signals'!$R$2:$R$100,'Supplier Signals'!$G$2:$G$100,1,'Supplier Signals'!$H$2:$H$100,"Transition")</f>
        <v/>
      </c>
      <c r="D7" s="70">
        <f>AVERAGEIFS('Supplier Signals'!$S$2:$S$100,'Supplier Signals'!$G$2:$G$100,1,'Supplier Signals'!$H$2:$H$100,"Transition")</f>
        <v/>
      </c>
      <c r="E7" s="70">
        <f>D7</f>
        <v/>
      </c>
      <c r="F7" s="70">
        <f>AVERAGEIFS('Supplier Signals'!$T$2:$T$100,'Supplier Signals'!$G$2:$G$100,1,'Supplier Signals'!$H$2:$H$100,"Transition")</f>
        <v/>
      </c>
      <c r="G7" s="70">
        <f>F7</f>
        <v/>
      </c>
      <c r="H7" s="71">
        <f>AVERAGEIFS('Supplier Signals'!$W$2:$W$100,'Supplier Signals'!$G$2:$G$100,1,'Supplier Signals'!$H$2:$H$100,"Transition")</f>
        <v/>
      </c>
    </row>
    <row r="8">
      <c r="A8" s="16" t="inlineStr">
        <is>
          <t>Power-constrained</t>
        </is>
      </c>
      <c r="B8" s="6">
        <f>COUNTIFS('Supplier Signals'!$G$2:$G$100,1,'Supplier Signals'!$H$2:$H$100,"Power-constrained")</f>
        <v/>
      </c>
      <c r="C8" s="70">
        <f>AVERAGEIFS('Supplier Signals'!$R$2:$R$100,'Supplier Signals'!$G$2:$G$100,1,'Supplier Signals'!$H$2:$H$100,"Power-constrained")</f>
        <v/>
      </c>
      <c r="D8" s="70">
        <f>AVERAGEIFS('Supplier Signals'!$S$2:$S$100,'Supplier Signals'!$G$2:$G$100,1,'Supplier Signals'!$H$2:$H$100,"Power-constrained")</f>
        <v/>
      </c>
      <c r="E8" s="70">
        <f>MEDIAN(O14:O27)</f>
        <v/>
      </c>
      <c r="F8" s="70">
        <f>AVERAGEIFS('Supplier Signals'!$T$2:$T$100,'Supplier Signals'!$G$2:$G$100,1,'Supplier Signals'!$H$2:$H$100,"Power-constrained")</f>
        <v/>
      </c>
      <c r="G8" s="70">
        <f>MEDIAN(P14:P27)</f>
        <v/>
      </c>
      <c r="H8" s="71">
        <f>AVERAGEIFS('Supplier Signals'!$W$2:$W$100,'Supplier Signals'!$G$2:$G$100,1,'Supplier Signals'!$H$2:$H$100,"Power-constrained")</f>
        <v/>
      </c>
    </row>
    <row r="9">
      <c r="A9" s="48" t="inlineStr">
        <is>
          <t>All upstream</t>
        </is>
      </c>
      <c r="B9" s="6">
        <f>COUNTIF('Supplier Signals'!$G$2:$G$100,1)</f>
        <v/>
      </c>
      <c r="C9" s="70">
        <f>AVERAGEIF('Supplier Signals'!$G$2:$G$100,1,'Supplier Signals'!$R$2:$R$100)</f>
        <v/>
      </c>
      <c r="D9" s="70">
        <f>AVERAGEIF('Supplier Signals'!$G$2:$G$100,1,'Supplier Signals'!$S$2:$S$100)</f>
        <v/>
      </c>
      <c r="E9" s="70">
        <f>MEDIAN(G14:G27)</f>
        <v/>
      </c>
      <c r="F9" s="70">
        <f>AVERAGEIF('Supplier Signals'!$G$2:$G$100,1,'Supplier Signals'!$T$2:$T$100)</f>
        <v/>
      </c>
      <c r="G9" s="70">
        <f>MEDIAN(H14:H27)</f>
        <v/>
      </c>
      <c r="H9" s="71">
        <f>AVERAGEIF('Supplier Signals'!$G$2:$G$100,1,'Supplier Signals'!$W$2:$W$100)</f>
        <v/>
      </c>
    </row>
    <row r="12" ht="20" customHeight="1">
      <c r="A12" s="3" t="inlineStr">
        <is>
          <t>Backtest event detail (upstream physical only)</t>
        </is>
      </c>
    </row>
    <row r="13">
      <c r="A13" s="4" t="inlineStr">
        <is>
          <t>Event Date</t>
        </is>
      </c>
      <c r="B13" s="4" t="inlineStr">
        <is>
          <t>Company</t>
        </is>
      </c>
      <c r="C13" s="4" t="inlineStr">
        <is>
          <t>Layer</t>
        </is>
      </c>
      <c r="D13" s="4" t="inlineStr">
        <is>
          <t>Regime</t>
        </is>
      </c>
      <c r="E13" s="4" t="inlineStr">
        <is>
          <t>Event</t>
        </is>
      </c>
      <c r="F13" s="4" t="inlineStr">
        <is>
          <t>1M</t>
        </is>
      </c>
      <c r="G13" s="4" t="inlineStr">
        <is>
          <t>3M</t>
        </is>
      </c>
      <c r="H13" s="4" t="inlineStr">
        <is>
          <t>6M</t>
        </is>
      </c>
      <c r="I13" s="4" t="inlineStr">
        <is>
          <t>9M</t>
        </is>
      </c>
      <c r="J13" s="4" t="inlineStr">
        <is>
          <t>Next &gt;=10% month</t>
        </is>
      </c>
      <c r="K13" s="4" t="inlineStr">
        <is>
          <t>Lead (mo)</t>
        </is>
      </c>
      <c r="L13" s="4" t="inlineStr">
        <is>
          <t>Source</t>
        </is>
      </c>
    </row>
    <row r="14">
      <c r="A14" s="23">
        <f>'Supplier Signals'!B2</f>
        <v/>
      </c>
      <c r="B14" s="24">
        <f>'Supplier Signals'!C2</f>
        <v/>
      </c>
      <c r="C14" s="24">
        <f>'Supplier Signals'!E2</f>
        <v/>
      </c>
      <c r="D14" s="24">
        <f>'Supplier Signals'!H2</f>
        <v/>
      </c>
      <c r="E14" s="24">
        <f>'Supplier Signals'!I2</f>
        <v/>
      </c>
      <c r="F14" s="78">
        <f>'Supplier Signals'!R2</f>
        <v/>
      </c>
      <c r="G14" s="78">
        <f>'Supplier Signals'!S2</f>
        <v/>
      </c>
      <c r="H14" s="78">
        <f>'Supplier Signals'!T2</f>
        <v/>
      </c>
      <c r="I14" s="78">
        <f>'Supplier Signals'!U2</f>
        <v/>
      </c>
      <c r="J14" s="50">
        <f>'Supplier Signals'!V2</f>
        <v/>
      </c>
      <c r="K14" s="51">
        <f>'Supplier Signals'!W2</f>
        <v/>
      </c>
      <c r="L14" s="24">
        <f>'Supplier Signals'!O2</f>
        <v/>
      </c>
      <c r="M14" s="6">
        <f>IF($D14="Demand-led",$G14,"")</f>
        <v/>
      </c>
      <c r="N14" s="6">
        <f>IF($D14="Demand-led",$H14,"")</f>
        <v/>
      </c>
      <c r="O14" s="6">
        <f>IF($D14="Power-constrained",$G14,"")</f>
        <v/>
      </c>
      <c r="P14" s="6">
        <f>IF($D14="Power-constrained",$H14,"")</f>
        <v/>
      </c>
    </row>
    <row r="15">
      <c r="A15" s="23">
        <f>'Supplier Signals'!B3</f>
        <v/>
      </c>
      <c r="B15" s="24">
        <f>'Supplier Signals'!C3</f>
        <v/>
      </c>
      <c r="C15" s="24">
        <f>'Supplier Signals'!E3</f>
        <v/>
      </c>
      <c r="D15" s="24">
        <f>'Supplier Signals'!H3</f>
        <v/>
      </c>
      <c r="E15" s="24">
        <f>'Supplier Signals'!I3</f>
        <v/>
      </c>
      <c r="F15" s="78">
        <f>'Supplier Signals'!R3</f>
        <v/>
      </c>
      <c r="G15" s="78">
        <f>'Supplier Signals'!S3</f>
        <v/>
      </c>
      <c r="H15" s="78">
        <f>'Supplier Signals'!T3</f>
        <v/>
      </c>
      <c r="I15" s="78">
        <f>'Supplier Signals'!U3</f>
        <v/>
      </c>
      <c r="J15" s="50">
        <f>'Supplier Signals'!V3</f>
        <v/>
      </c>
      <c r="K15" s="51">
        <f>'Supplier Signals'!W3</f>
        <v/>
      </c>
      <c r="L15" s="24">
        <f>'Supplier Signals'!O3</f>
        <v/>
      </c>
      <c r="M15" s="6">
        <f>IF($D15="Demand-led",$G15,"")</f>
        <v/>
      </c>
      <c r="N15" s="6">
        <f>IF($D15="Demand-led",$H15,"")</f>
        <v/>
      </c>
      <c r="O15" s="6">
        <f>IF($D15="Power-constrained",$G15,"")</f>
        <v/>
      </c>
      <c r="P15" s="6">
        <f>IF($D15="Power-constrained",$H15,"")</f>
        <v/>
      </c>
    </row>
    <row r="16">
      <c r="A16" s="23">
        <f>'Supplier Signals'!B4</f>
        <v/>
      </c>
      <c r="B16" s="24">
        <f>'Supplier Signals'!C4</f>
        <v/>
      </c>
      <c r="C16" s="24">
        <f>'Supplier Signals'!E4</f>
        <v/>
      </c>
      <c r="D16" s="24">
        <f>'Supplier Signals'!H4</f>
        <v/>
      </c>
      <c r="E16" s="24">
        <f>'Supplier Signals'!I4</f>
        <v/>
      </c>
      <c r="F16" s="78">
        <f>'Supplier Signals'!R4</f>
        <v/>
      </c>
      <c r="G16" s="78">
        <f>'Supplier Signals'!S4</f>
        <v/>
      </c>
      <c r="H16" s="78">
        <f>'Supplier Signals'!T4</f>
        <v/>
      </c>
      <c r="I16" s="78">
        <f>'Supplier Signals'!U4</f>
        <v/>
      </c>
      <c r="J16" s="50">
        <f>'Supplier Signals'!V4</f>
        <v/>
      </c>
      <c r="K16" s="51">
        <f>'Supplier Signals'!W4</f>
        <v/>
      </c>
      <c r="L16" s="24">
        <f>'Supplier Signals'!O4</f>
        <v/>
      </c>
      <c r="M16" s="6">
        <f>IF($D16="Demand-led",$G16,"")</f>
        <v/>
      </c>
      <c r="N16" s="6">
        <f>IF($D16="Demand-led",$H16,"")</f>
        <v/>
      </c>
      <c r="O16" s="6">
        <f>IF($D16="Power-constrained",$G16,"")</f>
        <v/>
      </c>
      <c r="P16" s="6">
        <f>IF($D16="Power-constrained",$H16,"")</f>
        <v/>
      </c>
    </row>
    <row r="17">
      <c r="A17" s="23">
        <f>'Supplier Signals'!B7</f>
        <v/>
      </c>
      <c r="B17" s="24">
        <f>'Supplier Signals'!C7</f>
        <v/>
      </c>
      <c r="C17" s="24">
        <f>'Supplier Signals'!E7</f>
        <v/>
      </c>
      <c r="D17" s="24">
        <f>'Supplier Signals'!H7</f>
        <v/>
      </c>
      <c r="E17" s="24">
        <f>'Supplier Signals'!I7</f>
        <v/>
      </c>
      <c r="F17" s="78">
        <f>'Supplier Signals'!R7</f>
        <v/>
      </c>
      <c r="G17" s="78">
        <f>'Supplier Signals'!S7</f>
        <v/>
      </c>
      <c r="H17" s="78">
        <f>'Supplier Signals'!T7</f>
        <v/>
      </c>
      <c r="I17" s="78">
        <f>'Supplier Signals'!U7</f>
        <v/>
      </c>
      <c r="J17" s="50">
        <f>'Supplier Signals'!V7</f>
        <v/>
      </c>
      <c r="K17" s="51">
        <f>'Supplier Signals'!W7</f>
        <v/>
      </c>
      <c r="L17" s="24">
        <f>'Supplier Signals'!O7</f>
        <v/>
      </c>
      <c r="M17" s="6">
        <f>IF($D17="Demand-led",$G17,"")</f>
        <v/>
      </c>
      <c r="N17" s="6">
        <f>IF($D17="Demand-led",$H17,"")</f>
        <v/>
      </c>
      <c r="O17" s="6">
        <f>IF($D17="Power-constrained",$G17,"")</f>
        <v/>
      </c>
      <c r="P17" s="6">
        <f>IF($D17="Power-constrained",$H17,"")</f>
        <v/>
      </c>
    </row>
    <row r="18">
      <c r="A18" s="23">
        <f>'Supplier Signals'!B10</f>
        <v/>
      </c>
      <c r="B18" s="24">
        <f>'Supplier Signals'!C10</f>
        <v/>
      </c>
      <c r="C18" s="24">
        <f>'Supplier Signals'!E10</f>
        <v/>
      </c>
      <c r="D18" s="24">
        <f>'Supplier Signals'!H10</f>
        <v/>
      </c>
      <c r="E18" s="24">
        <f>'Supplier Signals'!I10</f>
        <v/>
      </c>
      <c r="F18" s="78">
        <f>'Supplier Signals'!R10</f>
        <v/>
      </c>
      <c r="G18" s="78">
        <f>'Supplier Signals'!S10</f>
        <v/>
      </c>
      <c r="H18" s="78">
        <f>'Supplier Signals'!T10</f>
        <v/>
      </c>
      <c r="I18" s="78">
        <f>'Supplier Signals'!U10</f>
        <v/>
      </c>
      <c r="J18" s="50">
        <f>'Supplier Signals'!V10</f>
        <v/>
      </c>
      <c r="K18" s="51">
        <f>'Supplier Signals'!W10</f>
        <v/>
      </c>
      <c r="L18" s="24">
        <f>'Supplier Signals'!O10</f>
        <v/>
      </c>
      <c r="M18" s="6">
        <f>IF($D18="Demand-led",$G18,"")</f>
        <v/>
      </c>
      <c r="N18" s="6">
        <f>IF($D18="Demand-led",$H18,"")</f>
        <v/>
      </c>
      <c r="O18" s="6">
        <f>IF($D18="Power-constrained",$G18,"")</f>
        <v/>
      </c>
      <c r="P18" s="6">
        <f>IF($D18="Power-constrained",$H18,"")</f>
        <v/>
      </c>
    </row>
    <row r="19">
      <c r="A19" s="23">
        <f>'Supplier Signals'!B11</f>
        <v/>
      </c>
      <c r="B19" s="24">
        <f>'Supplier Signals'!C11</f>
        <v/>
      </c>
      <c r="C19" s="24">
        <f>'Supplier Signals'!E11</f>
        <v/>
      </c>
      <c r="D19" s="24">
        <f>'Supplier Signals'!H11</f>
        <v/>
      </c>
      <c r="E19" s="24">
        <f>'Supplier Signals'!I11</f>
        <v/>
      </c>
      <c r="F19" s="78">
        <f>'Supplier Signals'!R11</f>
        <v/>
      </c>
      <c r="G19" s="78">
        <f>'Supplier Signals'!S11</f>
        <v/>
      </c>
      <c r="H19" s="78">
        <f>'Supplier Signals'!T11</f>
        <v/>
      </c>
      <c r="I19" s="78">
        <f>'Supplier Signals'!U11</f>
        <v/>
      </c>
      <c r="J19" s="50">
        <f>'Supplier Signals'!V11</f>
        <v/>
      </c>
      <c r="K19" s="51">
        <f>'Supplier Signals'!W11</f>
        <v/>
      </c>
      <c r="L19" s="24">
        <f>'Supplier Signals'!O11</f>
        <v/>
      </c>
      <c r="M19" s="6">
        <f>IF($D19="Demand-led",$G19,"")</f>
        <v/>
      </c>
      <c r="N19" s="6">
        <f>IF($D19="Demand-led",$H19,"")</f>
        <v/>
      </c>
      <c r="O19" s="6">
        <f>IF($D19="Power-constrained",$G19,"")</f>
        <v/>
      </c>
      <c r="P19" s="6">
        <f>IF($D19="Power-constrained",$H19,"")</f>
        <v/>
      </c>
    </row>
    <row r="20">
      <c r="A20" s="23">
        <f>'Supplier Signals'!B13</f>
        <v/>
      </c>
      <c r="B20" s="24">
        <f>'Supplier Signals'!C13</f>
        <v/>
      </c>
      <c r="C20" s="24">
        <f>'Supplier Signals'!E13</f>
        <v/>
      </c>
      <c r="D20" s="24">
        <f>'Supplier Signals'!H13</f>
        <v/>
      </c>
      <c r="E20" s="24">
        <f>'Supplier Signals'!I13</f>
        <v/>
      </c>
      <c r="F20" s="78">
        <f>'Supplier Signals'!R13</f>
        <v/>
      </c>
      <c r="G20" s="78">
        <f>'Supplier Signals'!S13</f>
        <v/>
      </c>
      <c r="H20" s="78">
        <f>'Supplier Signals'!T13</f>
        <v/>
      </c>
      <c r="I20" s="78">
        <f>'Supplier Signals'!U13</f>
        <v/>
      </c>
      <c r="J20" s="50">
        <f>'Supplier Signals'!V13</f>
        <v/>
      </c>
      <c r="K20" s="51">
        <f>'Supplier Signals'!W13</f>
        <v/>
      </c>
      <c r="L20" s="24">
        <f>'Supplier Signals'!O13</f>
        <v/>
      </c>
      <c r="M20" s="6">
        <f>IF($D20="Demand-led",$G20,"")</f>
        <v/>
      </c>
      <c r="N20" s="6">
        <f>IF($D20="Demand-led",$H20,"")</f>
        <v/>
      </c>
      <c r="O20" s="6">
        <f>IF($D20="Power-constrained",$G20,"")</f>
        <v/>
      </c>
      <c r="P20" s="6">
        <f>IF($D20="Power-constrained",$H20,"")</f>
        <v/>
      </c>
    </row>
    <row r="21">
      <c r="A21" s="23">
        <f>'Supplier Signals'!B14</f>
        <v/>
      </c>
      <c r="B21" s="24">
        <f>'Supplier Signals'!C14</f>
        <v/>
      </c>
      <c r="C21" s="24">
        <f>'Supplier Signals'!E14</f>
        <v/>
      </c>
      <c r="D21" s="24">
        <f>'Supplier Signals'!H14</f>
        <v/>
      </c>
      <c r="E21" s="24">
        <f>'Supplier Signals'!I14</f>
        <v/>
      </c>
      <c r="F21" s="78">
        <f>'Supplier Signals'!R14</f>
        <v/>
      </c>
      <c r="G21" s="78">
        <f>'Supplier Signals'!S14</f>
        <v/>
      </c>
      <c r="H21" s="78">
        <f>'Supplier Signals'!T14</f>
        <v/>
      </c>
      <c r="I21" s="78">
        <f>'Supplier Signals'!U14</f>
        <v/>
      </c>
      <c r="J21" s="50">
        <f>'Supplier Signals'!V14</f>
        <v/>
      </c>
      <c r="K21" s="51">
        <f>'Supplier Signals'!W14</f>
        <v/>
      </c>
      <c r="L21" s="24">
        <f>'Supplier Signals'!O14</f>
        <v/>
      </c>
      <c r="M21" s="6">
        <f>IF($D21="Demand-led",$G21,"")</f>
        <v/>
      </c>
      <c r="N21" s="6">
        <f>IF($D21="Demand-led",$H21,"")</f>
        <v/>
      </c>
      <c r="O21" s="6">
        <f>IF($D21="Power-constrained",$G21,"")</f>
        <v/>
      </c>
      <c r="P21" s="6">
        <f>IF($D21="Power-constrained",$H21,"")</f>
        <v/>
      </c>
    </row>
    <row r="22">
      <c r="A22" s="23">
        <f>'Supplier Signals'!B15</f>
        <v/>
      </c>
      <c r="B22" s="24">
        <f>'Supplier Signals'!C15</f>
        <v/>
      </c>
      <c r="C22" s="24">
        <f>'Supplier Signals'!E15</f>
        <v/>
      </c>
      <c r="D22" s="24">
        <f>'Supplier Signals'!H15</f>
        <v/>
      </c>
      <c r="E22" s="24">
        <f>'Supplier Signals'!I15</f>
        <v/>
      </c>
      <c r="F22" s="78">
        <f>'Supplier Signals'!R15</f>
        <v/>
      </c>
      <c r="G22" s="78">
        <f>'Supplier Signals'!S15</f>
        <v/>
      </c>
      <c r="H22" s="78">
        <f>'Supplier Signals'!T15</f>
        <v/>
      </c>
      <c r="I22" s="78">
        <f>'Supplier Signals'!U15</f>
        <v/>
      </c>
      <c r="J22" s="50">
        <f>'Supplier Signals'!V15</f>
        <v/>
      </c>
      <c r="K22" s="51">
        <f>'Supplier Signals'!W15</f>
        <v/>
      </c>
      <c r="L22" s="24">
        <f>'Supplier Signals'!O15</f>
        <v/>
      </c>
      <c r="M22" s="6">
        <f>IF($D22="Demand-led",$G22,"")</f>
        <v/>
      </c>
      <c r="N22" s="6">
        <f>IF($D22="Demand-led",$H22,"")</f>
        <v/>
      </c>
      <c r="O22" s="6">
        <f>IF($D22="Power-constrained",$G22,"")</f>
        <v/>
      </c>
      <c r="P22" s="6">
        <f>IF($D22="Power-constrained",$H22,"")</f>
        <v/>
      </c>
    </row>
    <row r="23">
      <c r="A23" s="23">
        <f>'Supplier Signals'!B16</f>
        <v/>
      </c>
      <c r="B23" s="24">
        <f>'Supplier Signals'!C16</f>
        <v/>
      </c>
      <c r="C23" s="24">
        <f>'Supplier Signals'!E16</f>
        <v/>
      </c>
      <c r="D23" s="24">
        <f>'Supplier Signals'!H16</f>
        <v/>
      </c>
      <c r="E23" s="24">
        <f>'Supplier Signals'!I16</f>
        <v/>
      </c>
      <c r="F23" s="78">
        <f>'Supplier Signals'!R16</f>
        <v/>
      </c>
      <c r="G23" s="78">
        <f>'Supplier Signals'!S16</f>
        <v/>
      </c>
      <c r="H23" s="78">
        <f>'Supplier Signals'!T16</f>
        <v/>
      </c>
      <c r="I23" s="78">
        <f>'Supplier Signals'!U16</f>
        <v/>
      </c>
      <c r="J23" s="50">
        <f>'Supplier Signals'!V16</f>
        <v/>
      </c>
      <c r="K23" s="51">
        <f>'Supplier Signals'!W16</f>
        <v/>
      </c>
      <c r="L23" s="24">
        <f>'Supplier Signals'!O16</f>
        <v/>
      </c>
      <c r="M23" s="6">
        <f>IF($D23="Demand-led",$G23,"")</f>
        <v/>
      </c>
      <c r="N23" s="6">
        <f>IF($D23="Demand-led",$H23,"")</f>
        <v/>
      </c>
      <c r="O23" s="6">
        <f>IF($D23="Power-constrained",$G23,"")</f>
        <v/>
      </c>
      <c r="P23" s="6">
        <f>IF($D23="Power-constrained",$H23,"")</f>
        <v/>
      </c>
    </row>
    <row r="24">
      <c r="A24" s="23">
        <f>'Supplier Signals'!B17</f>
        <v/>
      </c>
      <c r="B24" s="24">
        <f>'Supplier Signals'!C17</f>
        <v/>
      </c>
      <c r="C24" s="24">
        <f>'Supplier Signals'!E17</f>
        <v/>
      </c>
      <c r="D24" s="24">
        <f>'Supplier Signals'!H17</f>
        <v/>
      </c>
      <c r="E24" s="24">
        <f>'Supplier Signals'!I17</f>
        <v/>
      </c>
      <c r="F24" s="78">
        <f>'Supplier Signals'!R17</f>
        <v/>
      </c>
      <c r="G24" s="78">
        <f>'Supplier Signals'!S17</f>
        <v/>
      </c>
      <c r="H24" s="78">
        <f>'Supplier Signals'!T17</f>
        <v/>
      </c>
      <c r="I24" s="78">
        <f>'Supplier Signals'!U17</f>
        <v/>
      </c>
      <c r="J24" s="50">
        <f>'Supplier Signals'!V17</f>
        <v/>
      </c>
      <c r="K24" s="51">
        <f>'Supplier Signals'!W17</f>
        <v/>
      </c>
      <c r="L24" s="24">
        <f>'Supplier Signals'!O17</f>
        <v/>
      </c>
      <c r="M24" s="6">
        <f>IF($D24="Demand-led",$G24,"")</f>
        <v/>
      </c>
      <c r="N24" s="6">
        <f>IF($D24="Demand-led",$H24,"")</f>
        <v/>
      </c>
      <c r="O24" s="6">
        <f>IF($D24="Power-constrained",$G24,"")</f>
        <v/>
      </c>
      <c r="P24" s="6">
        <f>IF($D24="Power-constrained",$H24,"")</f>
        <v/>
      </c>
    </row>
    <row r="25">
      <c r="A25" s="23">
        <f>'Supplier Signals'!B18</f>
        <v/>
      </c>
      <c r="B25" s="24">
        <f>'Supplier Signals'!C18</f>
        <v/>
      </c>
      <c r="C25" s="24">
        <f>'Supplier Signals'!E18</f>
        <v/>
      </c>
      <c r="D25" s="24">
        <f>'Supplier Signals'!H18</f>
        <v/>
      </c>
      <c r="E25" s="24">
        <f>'Supplier Signals'!I18</f>
        <v/>
      </c>
      <c r="F25" s="78">
        <f>'Supplier Signals'!R18</f>
        <v/>
      </c>
      <c r="G25" s="78">
        <f>'Supplier Signals'!S18</f>
        <v/>
      </c>
      <c r="H25" s="78">
        <f>'Supplier Signals'!T18</f>
        <v/>
      </c>
      <c r="I25" s="78">
        <f>'Supplier Signals'!U18</f>
        <v/>
      </c>
      <c r="J25" s="50">
        <f>'Supplier Signals'!V18</f>
        <v/>
      </c>
      <c r="K25" s="51">
        <f>'Supplier Signals'!W18</f>
        <v/>
      </c>
      <c r="L25" s="24">
        <f>'Supplier Signals'!O18</f>
        <v/>
      </c>
      <c r="M25" s="6">
        <f>IF($D25="Demand-led",$G25,"")</f>
        <v/>
      </c>
      <c r="N25" s="6">
        <f>IF($D25="Demand-led",$H25,"")</f>
        <v/>
      </c>
      <c r="O25" s="6">
        <f>IF($D25="Power-constrained",$G25,"")</f>
        <v/>
      </c>
      <c r="P25" s="6">
        <f>IF($D25="Power-constrained",$H25,"")</f>
        <v/>
      </c>
    </row>
    <row r="26">
      <c r="A26" s="23">
        <f>'Supplier Signals'!B19</f>
        <v/>
      </c>
      <c r="B26" s="24">
        <f>'Supplier Signals'!C19</f>
        <v/>
      </c>
      <c r="C26" s="24">
        <f>'Supplier Signals'!E19</f>
        <v/>
      </c>
      <c r="D26" s="24">
        <f>'Supplier Signals'!H19</f>
        <v/>
      </c>
      <c r="E26" s="24">
        <f>'Supplier Signals'!I19</f>
        <v/>
      </c>
      <c r="F26" s="78">
        <f>'Supplier Signals'!R19</f>
        <v/>
      </c>
      <c r="G26" s="78">
        <f>'Supplier Signals'!S19</f>
        <v/>
      </c>
      <c r="H26" s="78">
        <f>'Supplier Signals'!T19</f>
        <v/>
      </c>
      <c r="I26" s="78">
        <f>'Supplier Signals'!U19</f>
        <v/>
      </c>
      <c r="J26" s="50">
        <f>'Supplier Signals'!V19</f>
        <v/>
      </c>
      <c r="K26" s="51">
        <f>'Supplier Signals'!W19</f>
        <v/>
      </c>
      <c r="L26" s="24">
        <f>'Supplier Signals'!O19</f>
        <v/>
      </c>
      <c r="M26" s="6">
        <f>IF($D26="Demand-led",$G26,"")</f>
        <v/>
      </c>
      <c r="N26" s="6">
        <f>IF($D26="Demand-led",$H26,"")</f>
        <v/>
      </c>
      <c r="O26" s="6">
        <f>IF($D26="Power-constrained",$G26,"")</f>
        <v/>
      </c>
      <c r="P26" s="6">
        <f>IF($D26="Power-constrained",$H26,"")</f>
        <v/>
      </c>
    </row>
    <row r="27">
      <c r="A27" s="23">
        <f>'Supplier Signals'!B20</f>
        <v/>
      </c>
      <c r="B27" s="24">
        <f>'Supplier Signals'!C20</f>
        <v/>
      </c>
      <c r="C27" s="24">
        <f>'Supplier Signals'!E20</f>
        <v/>
      </c>
      <c r="D27" s="24">
        <f>'Supplier Signals'!H20</f>
        <v/>
      </c>
      <c r="E27" s="24">
        <f>'Supplier Signals'!I20</f>
        <v/>
      </c>
      <c r="F27" s="78">
        <f>'Supplier Signals'!R20</f>
        <v/>
      </c>
      <c r="G27" s="78">
        <f>'Supplier Signals'!S20</f>
        <v/>
      </c>
      <c r="H27" s="78">
        <f>'Supplier Signals'!T20</f>
        <v/>
      </c>
      <c r="I27" s="78">
        <f>'Supplier Signals'!U20</f>
        <v/>
      </c>
      <c r="J27" s="50">
        <f>'Supplier Signals'!V20</f>
        <v/>
      </c>
      <c r="K27" s="51">
        <f>'Supplier Signals'!W20</f>
        <v/>
      </c>
      <c r="L27" s="24">
        <f>'Supplier Signals'!O20</f>
        <v/>
      </c>
      <c r="M27" s="6">
        <f>IF($D27="Demand-led",$G27,"")</f>
        <v/>
      </c>
      <c r="N27" s="6">
        <f>IF($D27="Demand-led",$H27,"")</f>
        <v/>
      </c>
      <c r="O27" s="6">
        <f>IF($D27="Power-constrained",$G27,"")</f>
        <v/>
      </c>
      <c r="P27" s="6">
        <f>IF($D27="Power-constrained",$H27,"")</f>
        <v/>
      </c>
    </row>
  </sheetData>
  <mergeCells count="4">
    <mergeCell ref="A4:H4"/>
    <mergeCell ref="A2:H2"/>
    <mergeCell ref="A12:L12"/>
    <mergeCell ref="A1:H1"/>
  </mergeCells>
  <conditionalFormatting sqref="F14:I27">
    <cfRule type="colorScale" priority="1">
      <colorScale>
        <cfvo type="num" val="-0.2"/>
        <cfvo type="num" val="0"/>
        <cfvo type="num" val="0.6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55" customWidth="1" min="4" max="4"/>
    <col width="55" customWidth="1" min="5" max="5"/>
    <col width="62" customWidth="1" min="6" max="6"/>
  </cols>
  <sheetData>
    <row r="1">
      <c r="A1" s="47" t="inlineStr">
        <is>
          <t>Case Studies: What the Sequence Looked Like</t>
        </is>
      </c>
    </row>
    <row r="3">
      <c r="A3" s="4" t="inlineStr">
        <is>
          <t>Cycle / Test</t>
        </is>
      </c>
      <c r="B3" s="4" t="inlineStr">
        <is>
          <t>Date</t>
        </is>
      </c>
      <c r="C3" s="4" t="inlineStr">
        <is>
          <t>Layer</t>
        </is>
      </c>
      <c r="D3" s="4" t="inlineStr">
        <is>
          <t>Observed Signal</t>
        </is>
      </c>
      <c r="E3" s="4" t="inlineStr">
        <is>
          <t>What Followed</t>
        </is>
      </c>
      <c r="F3" s="4" t="inlineStr">
        <is>
          <t>Read</t>
        </is>
      </c>
    </row>
    <row r="4">
      <c r="A4" s="52" t="inlineStr">
        <is>
          <t>2023–24 demand-led</t>
        </is>
      </c>
      <c r="B4" s="15" t="inlineStr">
        <is>
          <t>10/25/2023</t>
        </is>
      </c>
      <c r="C4" s="15" t="inlineStr">
        <is>
          <t>Cooling / power</t>
        </is>
      </c>
      <c r="D4" s="15" t="inlineStr">
        <is>
          <t>Vertiv orders +11%; backlog $5.0B</t>
        </is>
      </c>
      <c r="E4" s="15" t="inlineStr">
        <is>
          <t>SOXX +16.1% in Nov; +32.7% over next 3 months</t>
        </is>
      </c>
      <c r="F4" s="15" t="inlineStr">
        <is>
          <t>Useful, but AI-chip demand itself was already driving the build. Physical signals were often concurrent with semis.</t>
        </is>
      </c>
    </row>
    <row r="5">
      <c r="A5" s="52" t="inlineStr">
        <is>
          <t>2023–24 demand-led</t>
        </is>
      </c>
      <c r="B5" s="15" t="inlineStr">
        <is>
          <t>2/21/2024</t>
        </is>
      </c>
      <c r="C5" s="15" t="inlineStr">
        <is>
          <t>Cooling / power</t>
        </is>
      </c>
      <c r="D5" s="15" t="inlineStr">
        <is>
          <t>Vertiv orders +23%; backlog $5.5B</t>
        </is>
      </c>
      <c r="E5" s="15" t="inlineStr">
        <is>
          <t>Dell AI backlog $2.9B on 2/29; SK hynix current-year HBM sold out</t>
        </is>
      </c>
      <c r="F5" s="15" t="inlineStr">
        <is>
          <t>Bridge from facility orders into systems/memory was visible, but semis were already in an upcycle.</t>
        </is>
      </c>
    </row>
    <row r="6">
      <c r="A6" s="52" t="inlineStr">
        <is>
          <t>2023–24 demand-led</t>
        </is>
      </c>
      <c r="B6" s="15" t="inlineStr">
        <is>
          <t>4/24/2024</t>
        </is>
      </c>
      <c r="C6" s="15" t="inlineStr">
        <is>
          <t>Cooling / power</t>
        </is>
      </c>
      <c r="D6" s="15" t="inlineStr">
        <is>
          <t>Vertiv orders +60%; B2B 1.5x</t>
        </is>
      </c>
      <c r="E6" s="15" t="inlineStr">
        <is>
          <t>Dell orders $2.6B / shipments $1.7B on 5/30; TSMC CoWoS expansion on 7/18</t>
        </is>
      </c>
      <c r="F6" s="15" t="inlineStr">
        <is>
          <t>Strong confirmation, not a clean early entry signal.</t>
        </is>
      </c>
    </row>
    <row r="7">
      <c r="A7" s="53" t="inlineStr">
        <is>
          <t>2025–26 power-constrained</t>
        </is>
      </c>
      <c r="B7" s="15" t="inlineStr">
        <is>
          <t>7/30/2025</t>
        </is>
      </c>
      <c r="C7" s="15" t="inlineStr">
        <is>
          <t>Cooling / power</t>
        </is>
      </c>
      <c r="D7" s="15" t="inlineStr">
        <is>
          <t>Vertiv orders +15% YoY / +11% sequential</t>
        </is>
      </c>
      <c r="E7" s="15" t="inlineStr">
        <is>
          <t>SOXX +28.0% over next 3 months</t>
        </is>
      </c>
      <c r="F7" s="15" t="inlineStr">
        <is>
          <t>Physical infrastructure reacceleration became visible before the next semiconductor acceleration.</t>
        </is>
      </c>
    </row>
    <row r="8">
      <c r="A8" s="53" t="inlineStr">
        <is>
          <t>2025–26 power-constrained</t>
        </is>
      </c>
      <c r="B8" s="15" t="inlineStr">
        <is>
          <t>8/7–8/21/2025</t>
        </is>
      </c>
      <c r="C8" s="15" t="inlineStr">
        <is>
          <t>Generation</t>
        </is>
      </c>
      <c r="D8" s="15" t="inlineStr">
        <is>
          <t>Caterpillar signs 4 GW Joule agreement and up-to-1 GW Hunt alliance</t>
        </is>
      </c>
      <c r="E8" s="15" t="inlineStr">
        <is>
          <t>Vertiv orders +60% in Oct; Eaton electrical orders data-center-driven in Nov</t>
        </is>
      </c>
      <c r="F8" s="15" t="inlineStr">
        <is>
          <t>Power de-risking visibly preceded the later electrical/cooling order explosion.</t>
        </is>
      </c>
    </row>
    <row r="9">
      <c r="A9" s="53" t="inlineStr">
        <is>
          <t>2025–26 power-constrained</t>
        </is>
      </c>
      <c r="B9" s="15" t="inlineStr">
        <is>
          <t>10/22/2025</t>
        </is>
      </c>
      <c r="C9" s="15" t="inlineStr">
        <is>
          <t>Cooling / power</t>
        </is>
      </c>
      <c r="D9" s="15" t="inlineStr">
        <is>
          <t>Vertiv orders +60%; B2B 1.4x; backlog $9.5B</t>
        </is>
      </c>
      <c r="E9" s="15" t="inlineStr">
        <is>
          <t>SOXX +13.1% over 3 months; +50.8% over 6 months</t>
        </is>
      </c>
      <c r="F9" s="15" t="inlineStr">
        <is>
          <t>This is close to the signal we want: physical orders accelerate while the next semi leg is not yet fully priced.</t>
        </is>
      </c>
    </row>
    <row r="10">
      <c r="A10" s="53" t="inlineStr">
        <is>
          <t>2025–26 power-constrained</t>
        </is>
      </c>
      <c r="B10" s="15" t="inlineStr">
        <is>
          <t>1/28–2/11/2026</t>
        </is>
      </c>
      <c r="C10" s="15" t="inlineStr">
        <is>
          <t>Generation + electrical + cooling</t>
        </is>
      </c>
      <c r="D10" s="15" t="inlineStr">
        <is>
          <t>CAT 2 GW firm order; Eaton DC orders +~200%; Vertiv orders +252%</t>
        </is>
      </c>
      <c r="E10" s="15" t="inlineStr">
        <is>
          <t>SOXX Feb close $351.91 → Jun $640.76 (~+82%); Dell AI revenue/order surge followed</t>
        </is>
      </c>
      <c r="F10" s="15" t="inlineStr">
        <is>
          <t>Strongest preliminary evidence that physical-order confirmation can front-run a semi re-rating in a power-gated regime.</t>
        </is>
      </c>
    </row>
    <row r="11">
      <c r="A11" s="52" t="inlineStr">
        <is>
          <t>Forward live test</t>
        </is>
      </c>
      <c r="B11" s="15" t="inlineStr">
        <is>
          <t>1/28/2026 onward</t>
        </is>
      </c>
      <c r="C11" s="15" t="inlineStr">
        <is>
          <t>Generation</t>
        </is>
      </c>
      <c r="D11" s="15" t="inlineStr">
        <is>
          <t>Monarch 2 GW gensets deliver Sep-26 through Aug-27; commissioning within months</t>
        </is>
      </c>
      <c r="E11" s="15" t="inlineStr">
        <is>
          <t>Future chip/server procurement should be visible before power-on if the model is right</t>
        </is>
      </c>
      <c r="F11" s="15" t="inlineStr">
        <is>
          <t>Track HBM/CoWoS/GPU/server commitments against this explicit delivery clock. This is a true forward test, not a backtest.</t>
        </is>
      </c>
    </row>
    <row r="12">
      <c r="A12" s="52" t="inlineStr">
        <is>
          <t>Current late-stage</t>
        </is>
      </c>
      <c r="B12" s="15" t="inlineStr">
        <is>
          <t>9/1/2026</t>
        </is>
      </c>
      <c r="C12" s="15" t="inlineStr">
        <is>
          <t>Servers / racks</t>
        </is>
      </c>
      <c r="D12" s="15" t="inlineStr">
        <is>
          <t>Dell: $60.9B AI orders, $16.4B revenue, $95B backlog</t>
        </is>
      </c>
      <c r="E12" s="15" t="inlineStr">
        <is>
          <t>Hardware monetization is already obvious</t>
        </is>
      </c>
      <c r="F12" s="15" t="inlineStr">
        <is>
          <t>Too late to be the early signal. We want the upstream VRT/ETN/CAT/MEP inflection before this stage.</t>
        </is>
      </c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5" customWidth="1" min="2" max="2"/>
    <col width="55" customWidth="1" min="3" max="3"/>
    <col width="30" customWidth="1" min="4" max="4"/>
  </cols>
  <sheetData>
    <row r="1">
      <c r="A1" s="47" t="inlineStr">
        <is>
          <t>Sources, Definitions &amp; Methodology</t>
        </is>
      </c>
    </row>
    <row r="3" ht="20" customHeight="1">
      <c r="A3" s="3" t="inlineStr">
        <is>
          <t>Method</t>
        </is>
      </c>
    </row>
    <row r="4">
      <c r="A4" s="54" t="inlineStr">
        <is>
          <t>Question</t>
        </is>
      </c>
      <c r="B4" s="15" t="inlineStr">
        <is>
          <t>Can public physical-infrastructure orders provide a timing signal before semiconductor equity/revenue cycles?</t>
        </is>
      </c>
    </row>
    <row r="5">
      <c r="A5" s="54" t="inlineStr">
        <is>
          <t>Primary unit of observation</t>
        </is>
      </c>
      <c r="B5" s="15" t="inlineStr">
        <is>
          <t>A dated public disclosure: generation contract, electrical/cooling order acceleration, construction backlog, HBM/packaging allocation, or AI server order/revenue disclosure.</t>
        </is>
      </c>
    </row>
    <row r="6">
      <c r="A6" s="54" t="inlineStr">
        <is>
          <t>Backtest set</t>
        </is>
      </c>
      <c r="B6" s="15" t="inlineStr">
        <is>
          <t>Only rows marked Backtest? = 1. Bridge/confirmation rows are kept for chronology but excluded from upstream-return averages.</t>
        </is>
      </c>
    </row>
    <row r="7">
      <c r="A7" s="54" t="inlineStr">
        <is>
          <t>Market proxy</t>
        </is>
      </c>
      <c r="B7" s="15" t="inlineStr">
        <is>
          <t>SOXX month-end close. Forward returns are measured from the event month-end, so timing is intentionally coarse.</t>
        </is>
      </c>
    </row>
    <row r="8">
      <c r="A8" s="54" t="inlineStr">
        <is>
          <t>Strong month definition</t>
        </is>
      </c>
      <c r="B8" s="15" t="inlineStr">
        <is>
          <t>SOXX calendar-month return &gt;= 10%. Used only as a simple clock marker, not as a statistical threshold.</t>
        </is>
      </c>
    </row>
    <row r="9">
      <c r="A9" s="54" t="inlineStr">
        <is>
          <t>Regime split</t>
        </is>
      </c>
      <c r="B9" s="15" t="inlineStr">
        <is>
          <t>Demand-led = 2023–24; Transition = early 2025; Power-constrained = Jul-2025 onward. This split is thesis-driven and ex post, so it can overstate apparent differences.</t>
        </is>
      </c>
    </row>
    <row r="10">
      <c r="A10" s="54" t="inlineStr">
        <is>
          <t>Critical limitation</t>
        </is>
      </c>
      <c r="B10" s="15" t="inlineStr">
        <is>
          <t>Events are clustered around the same industry cycle and are not independent. This workbook does not prove causality. It is designed to identify a repeatable sequence for forward monitoring.</t>
        </is>
      </c>
    </row>
    <row r="11">
      <c r="A11" s="54" t="inlineStr">
        <is>
          <t>What would validate the thesis forward</t>
        </is>
      </c>
      <c r="B11" s="15" t="inlineStr">
        <is>
          <t>A new generation/electrical/cooling order inflection occurs while SOXX/semis are still weak; HBM/CoWoS/server orders then rise within the predicted window; chip revenue follows before compute commissioning.</t>
        </is>
      </c>
    </row>
    <row r="14" ht="20" customHeight="1">
      <c r="A14" s="3" t="inlineStr">
        <is>
          <t>Clock anchors</t>
        </is>
      </c>
    </row>
    <row r="15">
      <c r="A15" s="52" t="inlineStr">
        <is>
          <t>Power / generation</t>
        </is>
      </c>
      <c r="B15" s="15" t="inlineStr">
        <is>
          <t>CAT Monarch 2 GW purchase agreement; equipment deliveries Sep-2026 to Aug-2027, then commissioning within months.</t>
        </is>
      </c>
      <c r="C15" s="28" t="inlineStr">
        <is>
          <t>https://investors.caterpillar.com/news/news-details/2026/American-Intelligence--Power-Forms-Strategic-Alliance-with-Caterpillar-and-Boyd-CAT-to-Deploy-2-Gigawatts-of-Dedicated-Power-for-Hyperscale-AI-Infrastructure/default.aspx</t>
        </is>
      </c>
    </row>
    <row r="16">
      <c r="A16" s="52" t="inlineStr">
        <is>
          <t>Cooling / electrical</t>
        </is>
      </c>
      <c r="B16" s="15" t="inlineStr">
        <is>
          <t>Vertiv 2025 10-K: majority of $15B backlog considered firm and expected to ship within 12–18 months.</t>
        </is>
      </c>
      <c r="C16" s="28" t="inlineStr">
        <is>
          <t>https://www.sec.gov/Archives/edgar/data/1674101/000167410126000008/vrt-20251231.htm</t>
        </is>
      </c>
    </row>
    <row r="17">
      <c r="A17" s="52" t="inlineStr">
        <is>
          <t>HBM</t>
        </is>
      </c>
      <c r="B17" s="15" t="inlineStr">
        <is>
          <t>SK hynix Feb-2024: planned current-year HBM sold out; already preparing for following year.</t>
        </is>
      </c>
      <c r="C17" s="28" t="inlineStr">
        <is>
          <t>https://news.skhynix.com/en/new-leadership-spotlight-vice-president-kitae-kim-head-of-hbm-sales-marketing/</t>
        </is>
      </c>
    </row>
    <row r="18">
      <c r="A18" s="52" t="inlineStr">
        <is>
          <t>HBM</t>
        </is>
      </c>
      <c r="B18" s="15" t="inlineStr">
        <is>
          <t>Micron Mar-2025: 2025 HBM sold out; negotiating customer agreements for 2026 demand.</t>
        </is>
      </c>
      <c r="C18" s="28" t="inlineStr">
        <is>
          <t>https://investors.micron.com/static-files/52ce0c07-49dc-4eab-b1d2-a67bde373bca</t>
        </is>
      </c>
    </row>
    <row r="19">
      <c r="A19" s="52" t="inlineStr">
        <is>
          <t>Advanced packaging</t>
        </is>
      </c>
      <c r="B19" s="15" t="inlineStr">
        <is>
          <t>TSMC Jul-2024: CoWoS more than doubled in 2024; planned to double or more again in 2025.</t>
        </is>
      </c>
      <c r="C19" s="28" t="inlineStr">
        <is>
          <t>https://investor.tsmc.com/english/encrypt/files/encrypt_file/reports/2024-08/5122725a56670882d777a8e8bfe0ed247cc55330/TSMC%202Q24%20Transcript.pdf</t>
        </is>
      </c>
    </row>
    <row r="20">
      <c r="A20" s="52" t="inlineStr">
        <is>
          <t>Construction</t>
        </is>
      </c>
      <c r="B20" s="15" t="inlineStr">
        <is>
          <t>EMCOR: large projects can span multiple years; 2025 data-center construction drove network/communications growth.</t>
        </is>
      </c>
      <c r="C20" s="28" t="inlineStr">
        <is>
          <t>https://www.sec.gov/Archives/edgar/data/105634/000010563426000025/eme-20251231.htm</t>
        </is>
      </c>
    </row>
    <row r="21">
      <c r="A21" s="52" t="inlineStr">
        <is>
          <t>Server systems</t>
        </is>
      </c>
      <c r="B21" s="15" t="inlineStr">
        <is>
          <t>Dell May-2024: AI orders $2.6B, shipments $1.7B, backlog $3.8B.</t>
        </is>
      </c>
      <c r="C21" s="28" t="inlineStr">
        <is>
          <t>https://investors.delltechnologies.com/news-releases/news-release-details/dell-technologies-delivers-first-quarter-fiscal-2025-financial</t>
        </is>
      </c>
    </row>
  </sheetData>
  <mergeCells count="18">
    <mergeCell ref="B10:D10"/>
    <mergeCell ref="A1:D1"/>
    <mergeCell ref="B11:D11"/>
    <mergeCell ref="C20:D20"/>
    <mergeCell ref="B5:D5"/>
    <mergeCell ref="C21:D21"/>
    <mergeCell ref="C16:D16"/>
    <mergeCell ref="C15:D15"/>
    <mergeCell ref="B8:D8"/>
    <mergeCell ref="A3:D3"/>
    <mergeCell ref="B4:D4"/>
    <mergeCell ref="C19:D19"/>
    <mergeCell ref="B9:D9"/>
    <mergeCell ref="C18:D18"/>
    <mergeCell ref="B7:D7"/>
    <mergeCell ref="C17:D17"/>
    <mergeCell ref="B6:D6"/>
    <mergeCell ref="A14:D14"/>
  </mergeCells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28" customWidth="1" min="4" max="4"/>
    <col width="58" customWidth="1" min="5" max="5"/>
    <col width="16" customWidth="1" min="6" max="6"/>
    <col width="34" customWidth="1" min="7" max="7"/>
    <col width="18" customWidth="1" min="8" max="8"/>
  </cols>
  <sheetData>
    <row r="1" ht="26" customHeight="1">
      <c r="A1" s="56" t="inlineStr">
        <is>
          <t>Dual-Clock Assumptions</t>
        </is>
      </c>
    </row>
    <row r="2" ht="30" customHeight="1">
      <c r="A2" s="57" t="inlineStr">
        <is>
          <t>Blue cells are user-adjustable. Imported benchmarks are green. Formulas throughout the workbook reference these controls rather than hard-coded thresholds.</t>
        </is>
      </c>
    </row>
    <row r="4">
      <c r="A4" s="58" t="inlineStr">
        <is>
          <t>POWER → IT CONVERSION</t>
        </is>
      </c>
      <c r="B4" s="102" t="n"/>
      <c r="C4" s="102" t="n"/>
      <c r="D4" s="102" t="n"/>
      <c r="E4" s="102" t="n"/>
      <c r="F4" s="102" t="n"/>
      <c r="G4" s="102" t="n"/>
      <c r="H4" s="102" t="n"/>
    </row>
    <row r="5" ht="34" customHeight="1">
      <c r="A5" s="79" t="inlineStr">
        <is>
          <t>Assumption</t>
        </is>
      </c>
      <c r="B5" s="79" t="inlineStr">
        <is>
          <t>Value</t>
        </is>
      </c>
      <c r="C5" s="79" t="inlineStr">
        <is>
          <t>Unit</t>
        </is>
      </c>
      <c r="D5" s="79" t="inlineStr">
        <is>
          <t>Use</t>
        </is>
      </c>
      <c r="E5" s="79" t="inlineStr">
        <is>
          <t>Source / rationale</t>
        </is>
      </c>
      <c r="F5" s="79" t="inlineStr"/>
      <c r="G5" s="79" t="inlineStr"/>
      <c r="H5" s="79" t="inlineStr"/>
    </row>
    <row r="6">
      <c r="A6" s="62" t="inlineStr">
        <is>
          <t>Default generation availability</t>
        </is>
      </c>
      <c r="B6" s="80" t="n">
        <v>0.95</v>
      </c>
      <c r="C6" s="62" t="inlineStr">
        <is>
          <t>factor</t>
        </is>
      </c>
      <c r="D6" s="62" t="inlineStr">
        <is>
          <t>Gross generation → firm generation</t>
        </is>
      </c>
      <c r="E6" s="62" t="inlineStr">
        <is>
          <t>User control; set project-specific values when disclosed.</t>
        </is>
      </c>
    </row>
    <row r="7">
      <c r="A7" s="62" t="inlineStr">
        <is>
          <t>Default reserve / redundancy factor</t>
        </is>
      </c>
      <c r="B7" s="80" t="n">
        <v>0.85</v>
      </c>
      <c r="C7" s="62" t="inlineStr">
        <is>
          <t>factor</t>
        </is>
      </c>
      <c r="D7" s="62" t="inlineStr">
        <is>
          <t>Firm generation → usable facility load</t>
        </is>
      </c>
      <c r="E7" s="62" t="inlineStr">
        <is>
          <t>User control; captures N+1 / reserve headroom.</t>
        </is>
      </c>
    </row>
    <row r="8">
      <c r="A8" s="62" t="inlineStr">
        <is>
          <t>Default PUE</t>
        </is>
      </c>
      <c r="B8" s="80" t="n">
        <v>1.15</v>
      </c>
      <c r="C8" s="62" t="inlineStr">
        <is>
          <t>PUE</t>
        </is>
      </c>
      <c r="D8" s="62" t="inlineStr">
        <is>
          <t>Facility MW → IT MW</t>
        </is>
      </c>
      <c r="E8" s="62" t="inlineStr">
        <is>
          <t>Modern AI data-center working assumption; override per project.</t>
        </is>
      </c>
    </row>
    <row r="9">
      <c r="A9" s="62" t="inlineStr">
        <is>
          <t>Hopper NVIDIA content / IT GW</t>
        </is>
      </c>
      <c r="B9" s="104" t="n">
        <v>18000000000</v>
      </c>
      <c r="C9" s="62" t="inlineStr">
        <is>
          <t>$/GW</t>
        </is>
      </c>
      <c r="D9" s="62" t="inlineStr">
        <is>
          <t>Dollar → implied IT GW</t>
        </is>
      </c>
      <c r="E9" s="62" t="inlineStr">
        <is>
          <t>NVIDIA Q2 FY27 transcript: roughly $18B/GW with Hopper.</t>
        </is>
      </c>
    </row>
    <row r="10">
      <c r="A10" s="62" t="inlineStr">
        <is>
          <t>Blackwell NVIDIA content / IT GW</t>
        </is>
      </c>
      <c r="B10" s="104" t="n">
        <v>25000000000</v>
      </c>
      <c r="C10" s="62" t="inlineStr">
        <is>
          <t>$/GW</t>
        </is>
      </c>
      <c r="D10" s="62" t="inlineStr">
        <is>
          <t>Dollar → implied IT GW</t>
        </is>
      </c>
      <c r="E10" s="62" t="inlineStr">
        <is>
          <t>NVIDIA Q2 FY27 transcript: roughly $25B/GW with Blackwell.</t>
        </is>
      </c>
    </row>
    <row r="11">
      <c r="A11" s="62" t="inlineStr">
        <is>
          <t>Vera Rubin NVIDIA content / IT GW</t>
        </is>
      </c>
      <c r="B11" s="104" t="n">
        <v>40000000000</v>
      </c>
      <c r="C11" s="62" t="inlineStr">
        <is>
          <t>$/GW</t>
        </is>
      </c>
      <c r="D11" s="62" t="inlineStr">
        <is>
          <t>Dollar → implied IT GW</t>
        </is>
      </c>
      <c r="E11" s="62" t="inlineStr">
        <is>
          <t>NVIDIA Q2 FY27 transcript: roughly $40B/GW with Vera Rubin.</t>
        </is>
      </c>
    </row>
    <row r="14">
      <c r="A14" s="58" t="inlineStr">
        <is>
          <t>SELL-CLOCK THRESHOLDS</t>
        </is>
      </c>
      <c r="B14" s="102" t="n"/>
      <c r="C14" s="102" t="n"/>
      <c r="D14" s="102" t="n"/>
      <c r="E14" s="102" t="n"/>
      <c r="F14" s="102" t="n"/>
      <c r="G14" s="102" t="n"/>
      <c r="H14" s="102" t="n"/>
    </row>
    <row r="15" ht="34" customHeight="1">
      <c r="A15" s="79" t="inlineStr">
        <is>
          <t>Metric</t>
        </is>
      </c>
      <c r="B15" s="79" t="inlineStr">
        <is>
          <t>Green max</t>
        </is>
      </c>
      <c r="C15" s="79" t="inlineStr">
        <is>
          <t>Watch max</t>
        </is>
      </c>
      <c r="D15" s="79" t="inlineStr">
        <is>
          <t>Yellow max</t>
        </is>
      </c>
      <c r="E15" s="79" t="inlineStr">
        <is>
          <t>Orange max</t>
        </is>
      </c>
      <c r="F15" s="79" t="inlineStr">
        <is>
          <t>Red</t>
        </is>
      </c>
      <c r="G15" s="79" t="inlineStr">
        <is>
          <t>Notes</t>
        </is>
      </c>
      <c r="H15" s="79" t="inlineStr"/>
    </row>
    <row r="16">
      <c r="A16" s="62" t="inlineStr">
        <is>
          <t>Forward 6M hardware / power</t>
        </is>
      </c>
      <c r="B16" s="105" t="n">
        <v>0.85</v>
      </c>
      <c r="C16" s="105" t="n">
        <v>1.05</v>
      </c>
      <c r="D16" s="105" t="n">
        <v>1.25</v>
      </c>
      <c r="E16" s="105" t="n">
        <v>1.5</v>
      </c>
      <c r="F16" s="62" t="inlineStr">
        <is>
          <t>&gt;1.50</t>
        </is>
      </c>
      <c r="G16" s="62" t="inlineStr">
        <is>
          <t>Heuristic starting bands. Calibrate as more project-level delivery data accumulates.</t>
        </is>
      </c>
    </row>
    <row r="17">
      <c r="A17" s="62" t="inlineStr">
        <is>
          <t>Sell convergence score</t>
        </is>
      </c>
      <c r="B17" s="83" t="n">
        <v>1</v>
      </c>
      <c r="C17" s="83" t="n">
        <v>2</v>
      </c>
      <c r="D17" s="83" t="n">
        <v>3</v>
      </c>
      <c r="E17" s="83" t="n">
        <v>4</v>
      </c>
      <c r="F17" s="62" t="n">
        <v>5</v>
      </c>
      <c r="G17" s="62" t="inlineStr">
        <is>
          <t>Counts independent warning categories, not raw number of headlines.</t>
        </is>
      </c>
    </row>
    <row r="20">
      <c r="A20" s="58" t="inlineStr">
        <is>
          <t>WARNING CATEGORIES</t>
        </is>
      </c>
      <c r="B20" s="102" t="n"/>
      <c r="C20" s="102" t="n"/>
      <c r="D20" s="102" t="n"/>
      <c r="E20" s="102" t="n"/>
      <c r="F20" s="102" t="n"/>
      <c r="G20" s="102" t="n"/>
      <c r="H20" s="102" t="n"/>
    </row>
    <row r="21" ht="34" customHeight="1">
      <c r="A21" s="79" t="inlineStr">
        <is>
          <t>Category</t>
        </is>
      </c>
      <c r="B21" s="79" t="inlineStr">
        <is>
          <t>Definition</t>
        </is>
      </c>
      <c r="C21" s="79" t="inlineStr">
        <is>
          <t>Historical example</t>
        </is>
      </c>
      <c r="D21" s="79" t="inlineStr">
        <is>
          <t>Score contribution</t>
        </is>
      </c>
      <c r="E21" s="79" t="inlineStr"/>
      <c r="F21" s="79" t="inlineStr"/>
      <c r="G21" s="79" t="inlineStr"/>
      <c r="H21" s="79" t="inlineStr"/>
    </row>
    <row r="22">
      <c r="A22" s="84" t="inlineStr">
        <is>
          <t>Power / construction slippage</t>
        </is>
      </c>
      <c r="B22" s="84" t="inlineStr">
        <is>
          <t>CODs, permitting, turbines, transformers or construction fall behind planned delivery.</t>
        </is>
      </c>
      <c r="C22" s="84" t="inlineStr">
        <is>
          <t>JPM May 4: &gt;60% of 2027 capacity not started; 7% delayed.</t>
        </is>
      </c>
      <c r="D22" s="84" t="n">
        <v>1</v>
      </c>
    </row>
    <row r="23">
      <c r="A23" s="84" t="inlineStr">
        <is>
          <t>Build-throughput gap</t>
        </is>
      </c>
      <c r="B23" s="84" t="inlineStr">
        <is>
          <t>Physical capacity under construction is small relative to backlog / hardware need.</t>
        </is>
      </c>
      <c r="C23" s="84" t="inlineStr">
        <is>
          <t>Eaton May 5: 32 GW under construction vs 228 GW backlog.</t>
        </is>
      </c>
      <c r="D23" s="84" t="n">
        <v>1</v>
      </c>
    </row>
    <row r="24">
      <c r="A24" s="84" t="inlineStr">
        <is>
          <t>Chip revenue acceleration</t>
        </is>
      </c>
      <c r="B24" s="84" t="inlineStr">
        <is>
          <t>Accelerator/HBM/networking revenue is accelerating into the constrained build.</t>
        </is>
      </c>
      <c r="C24" s="84" t="inlineStr">
        <is>
          <t>NVIDIA May 20: $75.2B Data Center revenue, +92% YoY.</t>
        </is>
      </c>
      <c r="D24" s="84" t="n">
        <v>1</v>
      </c>
    </row>
    <row r="25">
      <c r="A25" s="84" t="inlineStr">
        <is>
          <t>Server / rack delivery acceleration</t>
        </is>
      </c>
      <c r="B25" s="84" t="inlineStr">
        <is>
          <t>Systems orders, revenue or backlog jump faster than visible energization.</t>
        </is>
      </c>
      <c r="C25" s="84" t="inlineStr">
        <is>
          <t>Dell May 28: $24.4B AI orders; $16.1B AI server revenue; $51.3B backlog.</t>
        </is>
      </c>
      <c r="D25" s="84" t="n">
        <v>1</v>
      </c>
    </row>
    <row r="26">
      <c r="A26" s="84" t="inlineStr">
        <is>
          <t>System / regulatory intervention</t>
        </is>
      </c>
      <c r="B26" s="84" t="inlineStr">
        <is>
          <t>Grid operator, FERC, utility or government acts because large-load integration is failing/slowing.</t>
        </is>
      </c>
      <c r="C26" s="84" t="inlineStr">
        <is>
          <t>FERC June 18: all six RTO/ISOs ordered to justify/reform large-load rules.</t>
        </is>
      </c>
      <c r="D26" s="84" t="n">
        <v>1</v>
      </c>
    </row>
  </sheetData>
  <mergeCells count="23">
    <mergeCell ref="C23"/>
    <mergeCell ref="B24"/>
    <mergeCell ref="E7:H7"/>
    <mergeCell ref="A1:H1"/>
    <mergeCell ref="G17:H17"/>
    <mergeCell ref="B26"/>
    <mergeCell ref="B25"/>
    <mergeCell ref="C24"/>
    <mergeCell ref="B22"/>
    <mergeCell ref="E8:H8"/>
    <mergeCell ref="C26"/>
    <mergeCell ref="A2:H2"/>
    <mergeCell ref="C25"/>
    <mergeCell ref="A14:H14"/>
    <mergeCell ref="E10:H10"/>
    <mergeCell ref="C22"/>
    <mergeCell ref="B23"/>
    <mergeCell ref="A4:H4"/>
    <mergeCell ref="E9:H9"/>
    <mergeCell ref="G16:H16"/>
    <mergeCell ref="A20:H20"/>
    <mergeCell ref="E6:H6"/>
    <mergeCell ref="E11:H11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2" customWidth="1" min="4" max="4"/>
    <col width="18" customWidth="1" min="5" max="5"/>
    <col width="14" customWidth="1" min="6" max="6"/>
    <col width="14" customWidth="1" min="7" max="7"/>
    <col width="16" customWidth="1" min="8" max="8"/>
    <col width="13" customWidth="1" min="9" max="9"/>
    <col width="18" customWidth="1" min="10" max="10"/>
    <col width="15" customWidth="1" min="11" max="11"/>
    <col width="12" customWidth="1" min="12" max="12"/>
    <col width="14" customWidth="1" min="13" max="13"/>
    <col width="11" customWidth="1" min="14" max="14"/>
    <col width="46" customWidth="1" min="15" max="15"/>
    <col width="52" customWidth="1" min="16" max="16"/>
  </cols>
  <sheetData>
    <row r="1" ht="26" customHeight="1">
      <c r="A1" s="56" t="inlineStr">
        <is>
          <t>Hardware Delivery Ledger</t>
        </is>
      </c>
    </row>
    <row r="2" ht="30" customHeight="1">
      <c r="A2" s="57" t="inlineStr">
        <is>
          <t>Use only delivery schedules that can be tied to a time window. The model supports direct MW, rack × kW, or dollar-value conversion. Rows without a credible delivery window should stay excluded from coverage.</t>
        </is>
      </c>
    </row>
    <row r="4" ht="34" customHeight="1">
      <c r="A4" s="79" t="inlineStr">
        <is>
          <t>Include?</t>
        </is>
      </c>
      <c r="B4" s="79" t="inlineStr">
        <is>
          <t>Vendor</t>
        </is>
      </c>
      <c r="C4" s="79" t="inlineStr">
        <is>
          <t>Project / customer</t>
        </is>
      </c>
      <c r="D4" s="79" t="inlineStr">
        <is>
          <t>Layer</t>
        </is>
      </c>
      <c r="E4" s="79" t="inlineStr">
        <is>
          <t>Conversion method</t>
        </is>
      </c>
      <c r="F4" s="79" t="inlineStr">
        <is>
          <t>Delivery start</t>
        </is>
      </c>
      <c r="G4" s="79" t="inlineStr">
        <is>
          <t>Delivery end</t>
        </is>
      </c>
      <c r="H4" s="79" t="inlineStr">
        <is>
          <t>Quantity / $ value</t>
        </is>
      </c>
      <c r="I4" s="79" t="inlineStr">
        <is>
          <t>kW per rack</t>
        </is>
      </c>
      <c r="J4" s="79" t="inlineStr">
        <is>
          <t>$/IT GW benchmark</t>
        </is>
      </c>
      <c r="K4" s="79" t="inlineStr">
        <is>
          <t>Implied IT MW</t>
        </is>
      </c>
      <c r="L4" s="79" t="inlineStr">
        <is>
          <t>Duration (mo)</t>
        </is>
      </c>
      <c r="M4" s="79" t="inlineStr">
        <is>
          <t>MW / month</t>
        </is>
      </c>
      <c r="N4" s="79" t="inlineStr">
        <is>
          <t>Confidence</t>
        </is>
      </c>
      <c r="O4" s="79" t="inlineStr">
        <is>
          <t>Source URL</t>
        </is>
      </c>
      <c r="P4" s="79" t="inlineStr">
        <is>
          <t>Notes</t>
        </is>
      </c>
    </row>
    <row r="5">
      <c r="A5" s="85" t="n">
        <v>0</v>
      </c>
      <c r="B5" s="86" t="inlineStr">
        <is>
          <t>NVIDIA</t>
        </is>
      </c>
      <c r="C5" s="86" t="inlineStr">
        <is>
          <t>Vera Rubin hyperscaler / AI-cloud POs</t>
        </is>
      </c>
      <c r="D5" s="86" t="inlineStr">
        <is>
          <t>Accelerator + network</t>
        </is>
      </c>
      <c r="E5" s="62" t="inlineStr">
        <is>
          <t>Dollar / GW</t>
        </is>
      </c>
      <c r="F5" s="87" t="n">
        <v>46235</v>
      </c>
      <c r="G5" s="88" t="n"/>
      <c r="H5" s="106" t="n"/>
      <c r="I5" s="88" t="n"/>
      <c r="J5" s="107" t="n">
        <v>40000000000</v>
      </c>
      <c r="K5" s="108">
        <f>IF(A5&lt;&gt;1,"",IF(E5="Direct IT MW",H5,IF(E5="Rack x kW",H5*I5/1000,IF(E5="Dollar / GW",H5/J5*1000,""))))</f>
        <v/>
      </c>
      <c r="L5" s="63">
        <f>IF(OR(F5="",G5=""),"",DATEDIF(F5,G5,"m")+1)</f>
        <v/>
      </c>
      <c r="M5" s="108">
        <f>IF(OR(K5="",L5=""),"",K5/L5)</f>
        <v/>
      </c>
      <c r="N5" s="86" t="n">
        <v>5</v>
      </c>
      <c r="O5" s="92" t="inlineStr">
        <is>
          <t>https://investor.nvidia.com/files/content_files/TRANSCRIPT_-NVIDIA-Corp-NVDA-US-Q2-2027-Earnings-Call-26-August-2026-5_00-PM-ET.pdf</t>
        </is>
      </c>
      <c r="P5" s="86" t="inlineStr">
        <is>
          <t>POs from every major hyperscaler, AI cloud and system OEM; production shipments commenced Aug-26. Add disclosed delivery window/value when available.</t>
        </is>
      </c>
    </row>
    <row r="6">
      <c r="A6" s="85" t="n">
        <v>0</v>
      </c>
      <c r="B6" s="86" t="inlineStr">
        <is>
          <t>Dell</t>
        </is>
      </c>
      <c r="C6" s="86" t="inlineStr">
        <is>
          <t>Q2 FY27 AI server backlog</t>
        </is>
      </c>
      <c r="D6" s="86" t="inlineStr">
        <is>
          <t>Servers / racks</t>
        </is>
      </c>
      <c r="E6" s="62" t="inlineStr">
        <is>
          <t>Dollar / GW</t>
        </is>
      </c>
      <c r="F6" s="87" t="n">
        <v>46235</v>
      </c>
      <c r="G6" s="88" t="n"/>
      <c r="H6" s="107" t="n">
        <v>95000000000</v>
      </c>
      <c r="I6" s="88" t="n"/>
      <c r="J6" s="106" t="n"/>
      <c r="K6" s="108">
        <f>IF(A6&lt;&gt;1,"",IF(E6="Direct IT MW",H6,IF(E6="Rack x kW",H6*I6/1000,IF(E6="Dollar / GW",H6/J6*1000,""))))</f>
        <v/>
      </c>
      <c r="L6" s="63">
        <f>IF(OR(F6="",G6=""),"",DATEDIF(F6,G6,"m")+1)</f>
        <v/>
      </c>
      <c r="M6" s="108">
        <f>IF(OR(K6="",L6=""),"",K6/L6)</f>
        <v/>
      </c>
      <c r="N6" s="86" t="n">
        <v>5</v>
      </c>
      <c r="O6" s="92" t="inlineStr">
        <is>
          <t>https://investors.delltechnologies.com/static-files/a24f97e4-63b2-460d-a4be-44738826e8ce</t>
        </is>
      </c>
      <c r="P6" s="86" t="inlineStr">
        <is>
          <t>Backlog is a strong numerator proxy but delivery schedule and architecture mix must be supplied before coverage use.</t>
        </is>
      </c>
    </row>
    <row r="7">
      <c r="A7" s="85" t="n">
        <v>0</v>
      </c>
      <c r="B7" s="88" t="n"/>
      <c r="C7" s="88" t="n"/>
      <c r="D7" s="88" t="n"/>
      <c r="E7" s="88" t="n"/>
      <c r="F7" s="88" t="n"/>
      <c r="G7" s="88" t="n"/>
      <c r="H7" s="88" t="n"/>
      <c r="I7" s="88" t="n"/>
      <c r="J7" s="88" t="n"/>
      <c r="K7" s="108">
        <f>IF(A7&lt;&gt;1,"",IF(E7="Direct IT MW",H7,IF(E7="Rack x kW",H7*I7/1000,IF(E7="Dollar / GW",H7/J7*1000,""))))</f>
        <v/>
      </c>
      <c r="L7" s="63">
        <f>IF(OR(F7="",G7=""),"",DATEDIF(F7,G7,"m")+1)</f>
        <v/>
      </c>
      <c r="M7" s="108">
        <f>IF(OR(K7="",L7=""),"",K7/L7)</f>
        <v/>
      </c>
      <c r="N7" s="88" t="n"/>
      <c r="O7" s="88" t="n"/>
      <c r="P7" s="88" t="n"/>
    </row>
    <row r="8">
      <c r="A8" s="85" t="n">
        <v>0</v>
      </c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108">
        <f>IF(A8&lt;&gt;1,"",IF(E8="Direct IT MW",H8,IF(E8="Rack x kW",H8*I8/1000,IF(E8="Dollar / GW",H8/J8*1000,""))))</f>
        <v/>
      </c>
      <c r="L8" s="63">
        <f>IF(OR(F8="",G8=""),"",DATEDIF(F8,G8,"m")+1)</f>
        <v/>
      </c>
      <c r="M8" s="108">
        <f>IF(OR(K8="",L8=""),"",K8/L8)</f>
        <v/>
      </c>
      <c r="N8" s="88" t="n"/>
      <c r="O8" s="88" t="n"/>
      <c r="P8" s="88" t="n"/>
    </row>
    <row r="9">
      <c r="A9" s="85" t="n">
        <v>0</v>
      </c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108">
        <f>IF(A9&lt;&gt;1,"",IF(E9="Direct IT MW",H9,IF(E9="Rack x kW",H9*I9/1000,IF(E9="Dollar / GW",H9/J9*1000,""))))</f>
        <v/>
      </c>
      <c r="L9" s="63">
        <f>IF(OR(F9="",G9=""),"",DATEDIF(F9,G9,"m")+1)</f>
        <v/>
      </c>
      <c r="M9" s="108">
        <f>IF(OR(K9="",L9=""),"",K9/L9)</f>
        <v/>
      </c>
      <c r="N9" s="88" t="n"/>
      <c r="O9" s="88" t="n"/>
      <c r="P9" s="88" t="n"/>
    </row>
    <row r="10">
      <c r="A10" s="85" t="n">
        <v>0</v>
      </c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108">
        <f>IF(A10&lt;&gt;1,"",IF(E10="Direct IT MW",H10,IF(E10="Rack x kW",H10*I10/1000,IF(E10="Dollar / GW",H10/J10*1000,""))))</f>
        <v/>
      </c>
      <c r="L10" s="63">
        <f>IF(OR(F10="",G10=""),"",DATEDIF(F10,G10,"m")+1)</f>
        <v/>
      </c>
      <c r="M10" s="108">
        <f>IF(OR(K10="",L10=""),"",K10/L10)</f>
        <v/>
      </c>
      <c r="N10" s="88" t="n"/>
      <c r="O10" s="88" t="n"/>
      <c r="P10" s="88" t="n"/>
    </row>
    <row r="11">
      <c r="A11" s="85" t="n">
        <v>0</v>
      </c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108">
        <f>IF(A11&lt;&gt;1,"",IF(E11="Direct IT MW",H11,IF(E11="Rack x kW",H11*I11/1000,IF(E11="Dollar / GW",H11/J11*1000,""))))</f>
        <v/>
      </c>
      <c r="L11" s="63">
        <f>IF(OR(F11="",G11=""),"",DATEDIF(F11,G11,"m")+1)</f>
        <v/>
      </c>
      <c r="M11" s="108">
        <f>IF(OR(K11="",L11=""),"",K11/L11)</f>
        <v/>
      </c>
      <c r="N11" s="88" t="n"/>
      <c r="O11" s="88" t="n"/>
      <c r="P11" s="88" t="n"/>
    </row>
    <row r="12">
      <c r="A12" s="85" t="n">
        <v>0</v>
      </c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108">
        <f>IF(A12&lt;&gt;1,"",IF(E12="Direct IT MW",H12,IF(E12="Rack x kW",H12*I12/1000,IF(E12="Dollar / GW",H12/J12*1000,""))))</f>
        <v/>
      </c>
      <c r="L12" s="63">
        <f>IF(OR(F12="",G12=""),"",DATEDIF(F12,G12,"m")+1)</f>
        <v/>
      </c>
      <c r="M12" s="108">
        <f>IF(OR(K12="",L12=""),"",K12/L12)</f>
        <v/>
      </c>
      <c r="N12" s="88" t="n"/>
      <c r="O12" s="88" t="n"/>
      <c r="P12" s="88" t="n"/>
    </row>
    <row r="13">
      <c r="A13" s="85" t="n">
        <v>0</v>
      </c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108">
        <f>IF(A13&lt;&gt;1,"",IF(E13="Direct IT MW",H13,IF(E13="Rack x kW",H13*I13/1000,IF(E13="Dollar / GW",H13/J13*1000,""))))</f>
        <v/>
      </c>
      <c r="L13" s="63">
        <f>IF(OR(F13="",G13=""),"",DATEDIF(F13,G13,"m")+1)</f>
        <v/>
      </c>
      <c r="M13" s="108">
        <f>IF(OR(K13="",L13=""),"",K13/L13)</f>
        <v/>
      </c>
      <c r="N13" s="88" t="n"/>
      <c r="O13" s="88" t="n"/>
      <c r="P13" s="88" t="n"/>
    </row>
    <row r="14">
      <c r="A14" s="85" t="n">
        <v>0</v>
      </c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108">
        <f>IF(A14&lt;&gt;1,"",IF(E14="Direct IT MW",H14,IF(E14="Rack x kW",H14*I14/1000,IF(E14="Dollar / GW",H14/J14*1000,""))))</f>
        <v/>
      </c>
      <c r="L14" s="63">
        <f>IF(OR(F14="",G14=""),"",DATEDIF(F14,G14,"m")+1)</f>
        <v/>
      </c>
      <c r="M14" s="108">
        <f>IF(OR(K14="",L14=""),"",K14/L14)</f>
        <v/>
      </c>
      <c r="N14" s="88" t="n"/>
      <c r="O14" s="88" t="n"/>
      <c r="P14" s="88" t="n"/>
    </row>
    <row r="15">
      <c r="A15" s="85" t="n">
        <v>0</v>
      </c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108">
        <f>IF(A15&lt;&gt;1,"",IF(E15="Direct IT MW",H15,IF(E15="Rack x kW",H15*I15/1000,IF(E15="Dollar / GW",H15/J15*1000,""))))</f>
        <v/>
      </c>
      <c r="L15" s="63">
        <f>IF(OR(F15="",G15=""),"",DATEDIF(F15,G15,"m")+1)</f>
        <v/>
      </c>
      <c r="M15" s="108">
        <f>IF(OR(K15="",L15=""),"",K15/L15)</f>
        <v/>
      </c>
      <c r="N15" s="88" t="n"/>
      <c r="O15" s="88" t="n"/>
      <c r="P15" s="88" t="n"/>
    </row>
    <row r="16">
      <c r="A16" s="85" t="n">
        <v>0</v>
      </c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108">
        <f>IF(A16&lt;&gt;1,"",IF(E16="Direct IT MW",H16,IF(E16="Rack x kW",H16*I16/1000,IF(E16="Dollar / GW",H16/J16*1000,""))))</f>
        <v/>
      </c>
      <c r="L16" s="63">
        <f>IF(OR(F16="",G16=""),"",DATEDIF(F16,G16,"m")+1)</f>
        <v/>
      </c>
      <c r="M16" s="108">
        <f>IF(OR(K16="",L16=""),"",K16/L16)</f>
        <v/>
      </c>
      <c r="N16" s="88" t="n"/>
      <c r="O16" s="88" t="n"/>
      <c r="P16" s="88" t="n"/>
    </row>
    <row r="17">
      <c r="A17" s="85" t="n">
        <v>0</v>
      </c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108">
        <f>IF(A17&lt;&gt;1,"",IF(E17="Direct IT MW",H17,IF(E17="Rack x kW",H17*I17/1000,IF(E17="Dollar / GW",H17/J17*1000,""))))</f>
        <v/>
      </c>
      <c r="L17" s="63">
        <f>IF(OR(F17="",G17=""),"",DATEDIF(F17,G17,"m")+1)</f>
        <v/>
      </c>
      <c r="M17" s="108">
        <f>IF(OR(K17="",L17=""),"",K17/L17)</f>
        <v/>
      </c>
      <c r="N17" s="88" t="n"/>
      <c r="O17" s="88" t="n"/>
      <c r="P17" s="88" t="n"/>
    </row>
    <row r="18">
      <c r="A18" s="85" t="n">
        <v>0</v>
      </c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108">
        <f>IF(A18&lt;&gt;1,"",IF(E18="Direct IT MW",H18,IF(E18="Rack x kW",H18*I18/1000,IF(E18="Dollar / GW",H18/J18*1000,""))))</f>
        <v/>
      </c>
      <c r="L18" s="63">
        <f>IF(OR(F18="",G18=""),"",DATEDIF(F18,G18,"m")+1)</f>
        <v/>
      </c>
      <c r="M18" s="108">
        <f>IF(OR(K18="",L18=""),"",K18/L18)</f>
        <v/>
      </c>
      <c r="N18" s="88" t="n"/>
      <c r="O18" s="88" t="n"/>
      <c r="P18" s="88" t="n"/>
    </row>
    <row r="19">
      <c r="A19" s="85" t="n">
        <v>0</v>
      </c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108">
        <f>IF(A19&lt;&gt;1,"",IF(E19="Direct IT MW",H19,IF(E19="Rack x kW",H19*I19/1000,IF(E19="Dollar / GW",H19/J19*1000,""))))</f>
        <v/>
      </c>
      <c r="L19" s="63">
        <f>IF(OR(F19="",G19=""),"",DATEDIF(F19,G19,"m")+1)</f>
        <v/>
      </c>
      <c r="M19" s="108">
        <f>IF(OR(K19="",L19=""),"",K19/L19)</f>
        <v/>
      </c>
      <c r="N19" s="88" t="n"/>
      <c r="O19" s="88" t="n"/>
      <c r="P19" s="88" t="n"/>
    </row>
    <row r="20">
      <c r="A20" s="85" t="n">
        <v>0</v>
      </c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108">
        <f>IF(A20&lt;&gt;1,"",IF(E20="Direct IT MW",H20,IF(E20="Rack x kW",H20*I20/1000,IF(E20="Dollar / GW",H20/J20*1000,""))))</f>
        <v/>
      </c>
      <c r="L20" s="63">
        <f>IF(OR(F20="",G20=""),"",DATEDIF(F20,G20,"m")+1)</f>
        <v/>
      </c>
      <c r="M20" s="108">
        <f>IF(OR(K20="",L20=""),"",K20/L20)</f>
        <v/>
      </c>
      <c r="N20" s="88" t="n"/>
      <c r="O20" s="88" t="n"/>
      <c r="P20" s="88" t="n"/>
    </row>
    <row r="21">
      <c r="A21" s="85" t="n">
        <v>0</v>
      </c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108">
        <f>IF(A21&lt;&gt;1,"",IF(E21="Direct IT MW",H21,IF(E21="Rack x kW",H21*I21/1000,IF(E21="Dollar / GW",H21/J21*1000,""))))</f>
        <v/>
      </c>
      <c r="L21" s="63">
        <f>IF(OR(F21="",G21=""),"",DATEDIF(F21,G21,"m")+1)</f>
        <v/>
      </c>
      <c r="M21" s="108">
        <f>IF(OR(K21="",L21=""),"",K21/L21)</f>
        <v/>
      </c>
      <c r="N21" s="88" t="n"/>
      <c r="O21" s="88" t="n"/>
      <c r="P21" s="88" t="n"/>
    </row>
    <row r="22">
      <c r="A22" s="85" t="n">
        <v>0</v>
      </c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108">
        <f>IF(A22&lt;&gt;1,"",IF(E22="Direct IT MW",H22,IF(E22="Rack x kW",H22*I22/1000,IF(E22="Dollar / GW",H22/J22*1000,""))))</f>
        <v/>
      </c>
      <c r="L22" s="63">
        <f>IF(OR(F22="",G22=""),"",DATEDIF(F22,G22,"m")+1)</f>
        <v/>
      </c>
      <c r="M22" s="108">
        <f>IF(OR(K22="",L22=""),"",K22/L22)</f>
        <v/>
      </c>
      <c r="N22" s="88" t="n"/>
      <c r="O22" s="88" t="n"/>
      <c r="P22" s="88" t="n"/>
    </row>
    <row r="23">
      <c r="A23" s="85" t="n">
        <v>0</v>
      </c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108">
        <f>IF(A23&lt;&gt;1,"",IF(E23="Direct IT MW",H23,IF(E23="Rack x kW",H23*I23/1000,IF(E23="Dollar / GW",H23/J23*1000,""))))</f>
        <v/>
      </c>
      <c r="L23" s="63">
        <f>IF(OR(F23="",G23=""),"",DATEDIF(F23,G23,"m")+1)</f>
        <v/>
      </c>
      <c r="M23" s="108">
        <f>IF(OR(K23="",L23=""),"",K23/L23)</f>
        <v/>
      </c>
      <c r="N23" s="88" t="n"/>
      <c r="O23" s="88" t="n"/>
      <c r="P23" s="88" t="n"/>
    </row>
    <row r="24">
      <c r="A24" s="85" t="n">
        <v>0</v>
      </c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108">
        <f>IF(A24&lt;&gt;1,"",IF(E24="Direct IT MW",H24,IF(E24="Rack x kW",H24*I24/1000,IF(E24="Dollar / GW",H24/J24*1000,""))))</f>
        <v/>
      </c>
      <c r="L24" s="63">
        <f>IF(OR(F24="",G24=""),"",DATEDIF(F24,G24,"m")+1)</f>
        <v/>
      </c>
      <c r="M24" s="108">
        <f>IF(OR(K24="",L24=""),"",K24/L24)</f>
        <v/>
      </c>
      <c r="N24" s="88" t="n"/>
      <c r="O24" s="88" t="n"/>
      <c r="P24" s="88" t="n"/>
    </row>
    <row r="25">
      <c r="A25" s="85" t="n">
        <v>0</v>
      </c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108">
        <f>IF(A25&lt;&gt;1,"",IF(E25="Direct IT MW",H25,IF(E25="Rack x kW",H25*I25/1000,IF(E25="Dollar / GW",H25/J25*1000,""))))</f>
        <v/>
      </c>
      <c r="L25" s="63">
        <f>IF(OR(F25="",G25=""),"",DATEDIF(F25,G25,"m")+1)</f>
        <v/>
      </c>
      <c r="M25" s="108">
        <f>IF(OR(K25="",L25=""),"",K25/L25)</f>
        <v/>
      </c>
      <c r="N25" s="88" t="n"/>
      <c r="O25" s="88" t="n"/>
      <c r="P25" s="88" t="n"/>
    </row>
    <row r="26">
      <c r="A26" s="85" t="n">
        <v>0</v>
      </c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108">
        <f>IF(A26&lt;&gt;1,"",IF(E26="Direct IT MW",H26,IF(E26="Rack x kW",H26*I26/1000,IF(E26="Dollar / GW",H26/J26*1000,""))))</f>
        <v/>
      </c>
      <c r="L26" s="63">
        <f>IF(OR(F26="",G26=""),"",DATEDIF(F26,G26,"m")+1)</f>
        <v/>
      </c>
      <c r="M26" s="108">
        <f>IF(OR(K26="",L26=""),"",K26/L26)</f>
        <v/>
      </c>
      <c r="N26" s="88" t="n"/>
      <c r="O26" s="88" t="n"/>
      <c r="P26" s="88" t="n"/>
    </row>
    <row r="27">
      <c r="A27" s="85" t="n">
        <v>0</v>
      </c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108">
        <f>IF(A27&lt;&gt;1,"",IF(E27="Direct IT MW",H27,IF(E27="Rack x kW",H27*I27/1000,IF(E27="Dollar / GW",H27/J27*1000,""))))</f>
        <v/>
      </c>
      <c r="L27" s="63">
        <f>IF(OR(F27="",G27=""),"",DATEDIF(F27,G27,"m")+1)</f>
        <v/>
      </c>
      <c r="M27" s="108">
        <f>IF(OR(K27="",L27=""),"",K27/L27)</f>
        <v/>
      </c>
      <c r="N27" s="88" t="n"/>
      <c r="O27" s="88" t="n"/>
      <c r="P27" s="88" t="n"/>
    </row>
    <row r="28">
      <c r="A28" s="85" t="n">
        <v>0</v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108">
        <f>IF(A28&lt;&gt;1,"",IF(E28="Direct IT MW",H28,IF(E28="Rack x kW",H28*I28/1000,IF(E28="Dollar / GW",H28/J28*1000,""))))</f>
        <v/>
      </c>
      <c r="L28" s="63">
        <f>IF(OR(F28="",G28=""),"",DATEDIF(F28,G28,"m")+1)</f>
        <v/>
      </c>
      <c r="M28" s="108">
        <f>IF(OR(K28="",L28=""),"",K28/L28)</f>
        <v/>
      </c>
      <c r="N28" s="88" t="n"/>
      <c r="O28" s="88" t="n"/>
      <c r="P28" s="88" t="n"/>
    </row>
    <row r="29">
      <c r="A29" s="85" t="n">
        <v>0</v>
      </c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108">
        <f>IF(A29&lt;&gt;1,"",IF(E29="Direct IT MW",H29,IF(E29="Rack x kW",H29*I29/1000,IF(E29="Dollar / GW",H29/J29*1000,""))))</f>
        <v/>
      </c>
      <c r="L29" s="63">
        <f>IF(OR(F29="",G29=""),"",DATEDIF(F29,G29,"m")+1)</f>
        <v/>
      </c>
      <c r="M29" s="108">
        <f>IF(OR(K29="",L29=""),"",K29/L29)</f>
        <v/>
      </c>
      <c r="N29" s="88" t="n"/>
      <c r="O29" s="88" t="n"/>
      <c r="P29" s="88" t="n"/>
    </row>
    <row r="30">
      <c r="A30" s="85" t="n">
        <v>0</v>
      </c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108">
        <f>IF(A30&lt;&gt;1,"",IF(E30="Direct IT MW",H30,IF(E30="Rack x kW",H30*I30/1000,IF(E30="Dollar / GW",H30/J30*1000,""))))</f>
        <v/>
      </c>
      <c r="L30" s="63">
        <f>IF(OR(F30="",G30=""),"",DATEDIF(F30,G30,"m")+1)</f>
        <v/>
      </c>
      <c r="M30" s="108">
        <f>IF(OR(K30="",L30=""),"",K30/L30)</f>
        <v/>
      </c>
      <c r="N30" s="88" t="n"/>
      <c r="O30" s="88" t="n"/>
      <c r="P30" s="88" t="n"/>
    </row>
    <row r="31">
      <c r="A31" s="85" t="n">
        <v>0</v>
      </c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108">
        <f>IF(A31&lt;&gt;1,"",IF(E31="Direct IT MW",H31,IF(E31="Rack x kW",H31*I31/1000,IF(E31="Dollar / GW",H31/J31*1000,""))))</f>
        <v/>
      </c>
      <c r="L31" s="63">
        <f>IF(OR(F31="",G31=""),"",DATEDIF(F31,G31,"m")+1)</f>
        <v/>
      </c>
      <c r="M31" s="108">
        <f>IF(OR(K31="",L31=""),"",K31/L31)</f>
        <v/>
      </c>
      <c r="N31" s="88" t="n"/>
      <c r="O31" s="88" t="n"/>
      <c r="P31" s="88" t="n"/>
    </row>
    <row r="32">
      <c r="A32" s="85" t="n">
        <v>0</v>
      </c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108">
        <f>IF(A32&lt;&gt;1,"",IF(E32="Direct IT MW",H32,IF(E32="Rack x kW",H32*I32/1000,IF(E32="Dollar / GW",H32/J32*1000,""))))</f>
        <v/>
      </c>
      <c r="L32" s="63">
        <f>IF(OR(F32="",G32=""),"",DATEDIF(F32,G32,"m")+1)</f>
        <v/>
      </c>
      <c r="M32" s="108">
        <f>IF(OR(K32="",L32=""),"",K32/L32)</f>
        <v/>
      </c>
      <c r="N32" s="88" t="n"/>
      <c r="O32" s="88" t="n"/>
      <c r="P32" s="88" t="n"/>
    </row>
    <row r="33">
      <c r="A33" s="85" t="n">
        <v>0</v>
      </c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108">
        <f>IF(A33&lt;&gt;1,"",IF(E33="Direct IT MW",H33,IF(E33="Rack x kW",H33*I33/1000,IF(E33="Dollar / GW",H33/J33*1000,""))))</f>
        <v/>
      </c>
      <c r="L33" s="63">
        <f>IF(OR(F33="",G33=""),"",DATEDIF(F33,G33,"m")+1)</f>
        <v/>
      </c>
      <c r="M33" s="108">
        <f>IF(OR(K33="",L33=""),"",K33/L33)</f>
        <v/>
      </c>
      <c r="N33" s="88" t="n"/>
      <c r="O33" s="88" t="n"/>
      <c r="P33" s="88" t="n"/>
    </row>
    <row r="34">
      <c r="A34" s="85" t="n">
        <v>0</v>
      </c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108">
        <f>IF(A34&lt;&gt;1,"",IF(E34="Direct IT MW",H34,IF(E34="Rack x kW",H34*I34/1000,IF(E34="Dollar / GW",H34/J34*1000,""))))</f>
        <v/>
      </c>
      <c r="L34" s="63">
        <f>IF(OR(F34="",G34=""),"",DATEDIF(F34,G34,"m")+1)</f>
        <v/>
      </c>
      <c r="M34" s="108">
        <f>IF(OR(K34="",L34=""),"",K34/L34)</f>
        <v/>
      </c>
      <c r="N34" s="88" t="n"/>
      <c r="O34" s="88" t="n"/>
      <c r="P34" s="88" t="n"/>
    </row>
    <row r="35">
      <c r="A35" s="85" t="n">
        <v>0</v>
      </c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108">
        <f>IF(A35&lt;&gt;1,"",IF(E35="Direct IT MW",H35,IF(E35="Rack x kW",H35*I35/1000,IF(E35="Dollar / GW",H35/J35*1000,""))))</f>
        <v/>
      </c>
      <c r="L35" s="63">
        <f>IF(OR(F35="",G35=""),"",DATEDIF(F35,G35,"m")+1)</f>
        <v/>
      </c>
      <c r="M35" s="108">
        <f>IF(OR(K35="",L35=""),"",K35/L35)</f>
        <v/>
      </c>
      <c r="N35" s="88" t="n"/>
      <c r="O35" s="88" t="n"/>
      <c r="P35" s="88" t="n"/>
    </row>
    <row r="36">
      <c r="A36" s="85" t="n">
        <v>0</v>
      </c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108">
        <f>IF(A36&lt;&gt;1,"",IF(E36="Direct IT MW",H36,IF(E36="Rack x kW",H36*I36/1000,IF(E36="Dollar / GW",H36/J36*1000,""))))</f>
        <v/>
      </c>
      <c r="L36" s="63">
        <f>IF(OR(F36="",G36=""),"",DATEDIF(F36,G36,"m")+1)</f>
        <v/>
      </c>
      <c r="M36" s="108">
        <f>IF(OR(K36="",L36=""),"",K36/L36)</f>
        <v/>
      </c>
      <c r="N36" s="88" t="n"/>
      <c r="O36" s="88" t="n"/>
      <c r="P36" s="88" t="n"/>
    </row>
    <row r="37">
      <c r="A37" s="85" t="n">
        <v>0</v>
      </c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108">
        <f>IF(A37&lt;&gt;1,"",IF(E37="Direct IT MW",H37,IF(E37="Rack x kW",H37*I37/1000,IF(E37="Dollar / GW",H37/J37*1000,""))))</f>
        <v/>
      </c>
      <c r="L37" s="63">
        <f>IF(OR(F37="",G37=""),"",DATEDIF(F37,G37,"m")+1)</f>
        <v/>
      </c>
      <c r="M37" s="108">
        <f>IF(OR(K37="",L37=""),"",K37/L37)</f>
        <v/>
      </c>
      <c r="N37" s="88" t="n"/>
      <c r="O37" s="88" t="n"/>
      <c r="P37" s="88" t="n"/>
    </row>
    <row r="38">
      <c r="A38" s="85" t="n">
        <v>0</v>
      </c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108">
        <f>IF(A38&lt;&gt;1,"",IF(E38="Direct IT MW",H38,IF(E38="Rack x kW",H38*I38/1000,IF(E38="Dollar / GW",H38/J38*1000,""))))</f>
        <v/>
      </c>
      <c r="L38" s="63">
        <f>IF(OR(F38="",G38=""),"",DATEDIF(F38,G38,"m")+1)</f>
        <v/>
      </c>
      <c r="M38" s="108">
        <f>IF(OR(K38="",L38=""),"",K38/L38)</f>
        <v/>
      </c>
      <c r="N38" s="88" t="n"/>
      <c r="O38" s="88" t="n"/>
      <c r="P38" s="88" t="n"/>
    </row>
    <row r="39">
      <c r="A39" s="85" t="n">
        <v>0</v>
      </c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108">
        <f>IF(A39&lt;&gt;1,"",IF(E39="Direct IT MW",H39,IF(E39="Rack x kW",H39*I39/1000,IF(E39="Dollar / GW",H39/J39*1000,""))))</f>
        <v/>
      </c>
      <c r="L39" s="63">
        <f>IF(OR(F39="",G39=""),"",DATEDIF(F39,G39,"m")+1)</f>
        <v/>
      </c>
      <c r="M39" s="108">
        <f>IF(OR(K39="",L39=""),"",K39/L39)</f>
        <v/>
      </c>
      <c r="N39" s="88" t="n"/>
      <c r="O39" s="88" t="n"/>
      <c r="P39" s="88" t="n"/>
    </row>
    <row r="40">
      <c r="A40" s="85" t="n">
        <v>0</v>
      </c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108">
        <f>IF(A40&lt;&gt;1,"",IF(E40="Direct IT MW",H40,IF(E40="Rack x kW",H40*I40/1000,IF(E40="Dollar / GW",H40/J40*1000,""))))</f>
        <v/>
      </c>
      <c r="L40" s="63">
        <f>IF(OR(F40="",G40=""),"",DATEDIF(F40,G40,"m")+1)</f>
        <v/>
      </c>
      <c r="M40" s="108">
        <f>IF(OR(K40="",L40=""),"",K40/L40)</f>
        <v/>
      </c>
      <c r="N40" s="88" t="n"/>
      <c r="O40" s="88" t="n"/>
      <c r="P40" s="88" t="n"/>
    </row>
    <row r="41">
      <c r="A41" s="85" t="n">
        <v>0</v>
      </c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108">
        <f>IF(A41&lt;&gt;1,"",IF(E41="Direct IT MW",H41,IF(E41="Rack x kW",H41*I41/1000,IF(E41="Dollar / GW",H41/J41*1000,""))))</f>
        <v/>
      </c>
      <c r="L41" s="63">
        <f>IF(OR(F41="",G41=""),"",DATEDIF(F41,G41,"m")+1)</f>
        <v/>
      </c>
      <c r="M41" s="108">
        <f>IF(OR(K41="",L41=""),"",K41/L41)</f>
        <v/>
      </c>
      <c r="N41" s="88" t="n"/>
      <c r="O41" s="88" t="n"/>
      <c r="P41" s="88" t="n"/>
    </row>
    <row r="42">
      <c r="A42" s="85" t="n">
        <v>0</v>
      </c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108">
        <f>IF(A42&lt;&gt;1,"",IF(E42="Direct IT MW",H42,IF(E42="Rack x kW",H42*I42/1000,IF(E42="Dollar / GW",H42/J42*1000,""))))</f>
        <v/>
      </c>
      <c r="L42" s="63">
        <f>IF(OR(F42="",G42=""),"",DATEDIF(F42,G42,"m")+1)</f>
        <v/>
      </c>
      <c r="M42" s="108">
        <f>IF(OR(K42="",L42=""),"",K42/L42)</f>
        <v/>
      </c>
      <c r="N42" s="88" t="n"/>
      <c r="O42" s="88" t="n"/>
      <c r="P42" s="88" t="n"/>
    </row>
    <row r="43">
      <c r="A43" s="85" t="n">
        <v>0</v>
      </c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108">
        <f>IF(A43&lt;&gt;1,"",IF(E43="Direct IT MW",H43,IF(E43="Rack x kW",H43*I43/1000,IF(E43="Dollar / GW",H43/J43*1000,""))))</f>
        <v/>
      </c>
      <c r="L43" s="63">
        <f>IF(OR(F43="",G43=""),"",DATEDIF(F43,G43,"m")+1)</f>
        <v/>
      </c>
      <c r="M43" s="108">
        <f>IF(OR(K43="",L43=""),"",K43/L43)</f>
        <v/>
      </c>
      <c r="N43" s="88" t="n"/>
      <c r="O43" s="88" t="n"/>
      <c r="P43" s="88" t="n"/>
    </row>
    <row r="44">
      <c r="A44" s="85" t="n">
        <v>0</v>
      </c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108">
        <f>IF(A44&lt;&gt;1,"",IF(E44="Direct IT MW",H44,IF(E44="Rack x kW",H44*I44/1000,IF(E44="Dollar / GW",H44/J44*1000,""))))</f>
        <v/>
      </c>
      <c r="L44" s="63">
        <f>IF(OR(F44="",G44=""),"",DATEDIF(F44,G44,"m")+1)</f>
        <v/>
      </c>
      <c r="M44" s="108">
        <f>IF(OR(K44="",L44=""),"",K44/L44)</f>
        <v/>
      </c>
      <c r="N44" s="88" t="n"/>
      <c r="O44" s="88" t="n"/>
      <c r="P44" s="88" t="n"/>
    </row>
    <row r="45">
      <c r="A45" s="85" t="n">
        <v>0</v>
      </c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108">
        <f>IF(A45&lt;&gt;1,"",IF(E45="Direct IT MW",H45,IF(E45="Rack x kW",H45*I45/1000,IF(E45="Dollar / GW",H45/J45*1000,""))))</f>
        <v/>
      </c>
      <c r="L45" s="63">
        <f>IF(OR(F45="",G45=""),"",DATEDIF(F45,G45,"m")+1)</f>
        <v/>
      </c>
      <c r="M45" s="108">
        <f>IF(OR(K45="",L45=""),"",K45/L45)</f>
        <v/>
      </c>
      <c r="N45" s="88" t="n"/>
      <c r="O45" s="88" t="n"/>
      <c r="P45" s="88" t="n"/>
    </row>
    <row r="46">
      <c r="A46" s="85" t="n">
        <v>0</v>
      </c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108">
        <f>IF(A46&lt;&gt;1,"",IF(E46="Direct IT MW",H46,IF(E46="Rack x kW",H46*I46/1000,IF(E46="Dollar / GW",H46/J46*1000,""))))</f>
        <v/>
      </c>
      <c r="L46" s="63">
        <f>IF(OR(F46="",G46=""),"",DATEDIF(F46,G46,"m")+1)</f>
        <v/>
      </c>
      <c r="M46" s="108">
        <f>IF(OR(K46="",L46=""),"",K46/L46)</f>
        <v/>
      </c>
      <c r="N46" s="88" t="n"/>
      <c r="O46" s="88" t="n"/>
      <c r="P46" s="88" t="n"/>
    </row>
    <row r="47">
      <c r="A47" s="85" t="n">
        <v>0</v>
      </c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108">
        <f>IF(A47&lt;&gt;1,"",IF(E47="Direct IT MW",H47,IF(E47="Rack x kW",H47*I47/1000,IF(E47="Dollar / GW",H47/J47*1000,""))))</f>
        <v/>
      </c>
      <c r="L47" s="63">
        <f>IF(OR(F47="",G47=""),"",DATEDIF(F47,G47,"m")+1)</f>
        <v/>
      </c>
      <c r="M47" s="108">
        <f>IF(OR(K47="",L47=""),"",K47/L47)</f>
        <v/>
      </c>
      <c r="N47" s="88" t="n"/>
      <c r="O47" s="88" t="n"/>
      <c r="P47" s="88" t="n"/>
    </row>
    <row r="48">
      <c r="A48" s="85" t="n">
        <v>0</v>
      </c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108">
        <f>IF(A48&lt;&gt;1,"",IF(E48="Direct IT MW",H48,IF(E48="Rack x kW",H48*I48/1000,IF(E48="Dollar / GW",H48/J48*1000,""))))</f>
        <v/>
      </c>
      <c r="L48" s="63">
        <f>IF(OR(F48="",G48=""),"",DATEDIF(F48,G48,"m")+1)</f>
        <v/>
      </c>
      <c r="M48" s="108">
        <f>IF(OR(K48="",L48=""),"",K48/L48)</f>
        <v/>
      </c>
      <c r="N48" s="88" t="n"/>
      <c r="O48" s="88" t="n"/>
      <c r="P48" s="88" t="n"/>
    </row>
    <row r="49">
      <c r="A49" s="85" t="n">
        <v>0</v>
      </c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108">
        <f>IF(A49&lt;&gt;1,"",IF(E49="Direct IT MW",H49,IF(E49="Rack x kW",H49*I49/1000,IF(E49="Dollar / GW",H49/J49*1000,""))))</f>
        <v/>
      </c>
      <c r="L49" s="63">
        <f>IF(OR(F49="",G49=""),"",DATEDIF(F49,G49,"m")+1)</f>
        <v/>
      </c>
      <c r="M49" s="108">
        <f>IF(OR(K49="",L49=""),"",K49/L49)</f>
        <v/>
      </c>
      <c r="N49" s="88" t="n"/>
      <c r="O49" s="88" t="n"/>
      <c r="P49" s="88" t="n"/>
    </row>
    <row r="50">
      <c r="A50" s="85" t="n">
        <v>0</v>
      </c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108">
        <f>IF(A50&lt;&gt;1,"",IF(E50="Direct IT MW",H50,IF(E50="Rack x kW",H50*I50/1000,IF(E50="Dollar / GW",H50/J50*1000,""))))</f>
        <v/>
      </c>
      <c r="L50" s="63">
        <f>IF(OR(F50="",G50=""),"",DATEDIF(F50,G50,"m")+1)</f>
        <v/>
      </c>
      <c r="M50" s="108">
        <f>IF(OR(K50="",L50=""),"",K50/L50)</f>
        <v/>
      </c>
      <c r="N50" s="88" t="n"/>
      <c r="O50" s="88" t="n"/>
      <c r="P50" s="88" t="n"/>
    </row>
    <row r="51">
      <c r="A51" s="85" t="n">
        <v>0</v>
      </c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108">
        <f>IF(A51&lt;&gt;1,"",IF(E51="Direct IT MW",H51,IF(E51="Rack x kW",H51*I51/1000,IF(E51="Dollar / GW",H51/J51*1000,""))))</f>
        <v/>
      </c>
      <c r="L51" s="63">
        <f>IF(OR(F51="",G51=""),"",DATEDIF(F51,G51,"m")+1)</f>
        <v/>
      </c>
      <c r="M51" s="108">
        <f>IF(OR(K51="",L51=""),"",K51/L51)</f>
        <v/>
      </c>
      <c r="N51" s="88" t="n"/>
      <c r="O51" s="88" t="n"/>
      <c r="P51" s="88" t="n"/>
    </row>
    <row r="52">
      <c r="A52" s="85" t="n">
        <v>0</v>
      </c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108">
        <f>IF(A52&lt;&gt;1,"",IF(E52="Direct IT MW",H52,IF(E52="Rack x kW",H52*I52/1000,IF(E52="Dollar / GW",H52/J52*1000,""))))</f>
        <v/>
      </c>
      <c r="L52" s="63">
        <f>IF(OR(F52="",G52=""),"",DATEDIF(F52,G52,"m")+1)</f>
        <v/>
      </c>
      <c r="M52" s="108">
        <f>IF(OR(K52="",L52=""),"",K52/L52)</f>
        <v/>
      </c>
      <c r="N52" s="88" t="n"/>
      <c r="O52" s="88" t="n"/>
      <c r="P52" s="88" t="n"/>
    </row>
    <row r="53">
      <c r="A53" s="85" t="n">
        <v>0</v>
      </c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108">
        <f>IF(A53&lt;&gt;1,"",IF(E53="Direct IT MW",H53,IF(E53="Rack x kW",H53*I53/1000,IF(E53="Dollar / GW",H53/J53*1000,""))))</f>
        <v/>
      </c>
      <c r="L53" s="63">
        <f>IF(OR(F53="",G53=""),"",DATEDIF(F53,G53,"m")+1)</f>
        <v/>
      </c>
      <c r="M53" s="108">
        <f>IF(OR(K53="",L53=""),"",K53/L53)</f>
        <v/>
      </c>
      <c r="N53" s="88" t="n"/>
      <c r="O53" s="88" t="n"/>
      <c r="P53" s="88" t="n"/>
    </row>
    <row r="54">
      <c r="A54" s="85" t="n">
        <v>0</v>
      </c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108">
        <f>IF(A54&lt;&gt;1,"",IF(E54="Direct IT MW",H54,IF(E54="Rack x kW",H54*I54/1000,IF(E54="Dollar / GW",H54/J54*1000,""))))</f>
        <v/>
      </c>
      <c r="L54" s="63">
        <f>IF(OR(F54="",G54=""),"",DATEDIF(F54,G54,"m")+1)</f>
        <v/>
      </c>
      <c r="M54" s="108">
        <f>IF(OR(K54="",L54=""),"",K54/L54)</f>
        <v/>
      </c>
      <c r="N54" s="88" t="n"/>
      <c r="O54" s="88" t="n"/>
      <c r="P54" s="88" t="n"/>
    </row>
    <row r="55">
      <c r="A55" s="85" t="n">
        <v>0</v>
      </c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108">
        <f>IF(A55&lt;&gt;1,"",IF(E55="Direct IT MW",H55,IF(E55="Rack x kW",H55*I55/1000,IF(E55="Dollar / GW",H55/J55*1000,""))))</f>
        <v/>
      </c>
      <c r="L55" s="63">
        <f>IF(OR(F55="",G55=""),"",DATEDIF(F55,G55,"m")+1)</f>
        <v/>
      </c>
      <c r="M55" s="108">
        <f>IF(OR(K55="",L55=""),"",K55/L55)</f>
        <v/>
      </c>
      <c r="N55" s="88" t="n"/>
      <c r="O55" s="88" t="n"/>
      <c r="P55" s="88" t="n"/>
    </row>
    <row r="56">
      <c r="A56" s="85" t="n">
        <v>0</v>
      </c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108">
        <f>IF(A56&lt;&gt;1,"",IF(E56="Direct IT MW",H56,IF(E56="Rack x kW",H56*I56/1000,IF(E56="Dollar / GW",H56/J56*1000,""))))</f>
        <v/>
      </c>
      <c r="L56" s="63">
        <f>IF(OR(F56="",G56=""),"",DATEDIF(F56,G56,"m")+1)</f>
        <v/>
      </c>
      <c r="M56" s="108">
        <f>IF(OR(K56="",L56=""),"",K56/L56)</f>
        <v/>
      </c>
      <c r="N56" s="88" t="n"/>
      <c r="O56" s="88" t="n"/>
      <c r="P56" s="88" t="n"/>
    </row>
  </sheetData>
  <autoFilter ref="A4:P56"/>
  <mergeCells count="2">
    <mergeCell ref="A1:P1"/>
    <mergeCell ref="A2:P2"/>
  </mergeCells>
  <hyperlinks>
    <hyperlink xmlns:r="http://schemas.openxmlformats.org/officeDocument/2006/relationships" ref="O5" r:id="rId1"/>
    <hyperlink xmlns:r="http://schemas.openxmlformats.org/officeDocument/2006/relationships" ref="O6" r:id="rId2"/>
  </hyperlink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5" customWidth="1" min="4" max="4"/>
    <col width="14" customWidth="1" min="5" max="5"/>
    <col width="14" customWidth="1" min="6" max="6"/>
    <col width="12" customWidth="1" min="7" max="7"/>
    <col width="12" customWidth="1" min="8" max="8"/>
    <col width="18" customWidth="1" min="9" max="9"/>
    <col width="9" customWidth="1" min="10" max="10"/>
    <col width="15" customWidth="1" min="11" max="11"/>
    <col width="12" customWidth="1" min="12" max="12"/>
    <col width="14" customWidth="1" min="13" max="13"/>
    <col width="26" customWidth="1" min="14" max="14"/>
    <col width="11" customWidth="1" min="15" max="15"/>
    <col width="46" customWidth="1" min="16" max="16"/>
    <col width="52" customWidth="1" min="17" max="17"/>
  </cols>
  <sheetData>
    <row r="1" ht="26" customHeight="1">
      <c r="A1" s="56" t="inlineStr">
        <is>
          <t>Power / Energization Ledger</t>
        </is>
      </c>
    </row>
    <row r="2" ht="30" customHeight="1">
      <c r="A2" s="57" t="inlineStr">
        <is>
          <t>This is the denominator. Count only power that has a credible construction/delivery clock. Gross generation is converted to usable IT MW through availability, reserve headroom and PUE.</t>
        </is>
      </c>
    </row>
    <row r="4" ht="34" customHeight="1">
      <c r="A4" s="79" t="inlineStr">
        <is>
          <t>Include?</t>
        </is>
      </c>
      <c r="B4" s="79" t="inlineStr">
        <is>
          <t>Provider</t>
        </is>
      </c>
      <c r="C4" s="79" t="inlineStr">
        <is>
          <t>Project</t>
        </is>
      </c>
      <c r="D4" s="79" t="inlineStr">
        <is>
          <t>Power type</t>
        </is>
      </c>
      <c r="E4" s="79" t="inlineStr">
        <is>
          <t>Delivery start</t>
        </is>
      </c>
      <c r="F4" s="79" t="inlineStr">
        <is>
          <t>Delivery end</t>
        </is>
      </c>
      <c r="G4" s="79" t="inlineStr">
        <is>
          <t>Gross MW</t>
        </is>
      </c>
      <c r="H4" s="79" t="inlineStr">
        <is>
          <t>Availability</t>
        </is>
      </c>
      <c r="I4" s="79" t="inlineStr">
        <is>
          <t>Reserve / redundancy</t>
        </is>
      </c>
      <c r="J4" s="79" t="inlineStr">
        <is>
          <t>PUE</t>
        </is>
      </c>
      <c r="K4" s="79" t="inlineStr">
        <is>
          <t>Usable IT MW</t>
        </is>
      </c>
      <c r="L4" s="79" t="inlineStr">
        <is>
          <t>Duration (mo)</t>
        </is>
      </c>
      <c r="M4" s="79" t="inlineStr">
        <is>
          <t>IT MW / month</t>
        </is>
      </c>
      <c r="N4" s="79" t="inlineStr">
        <is>
          <t>Status</t>
        </is>
      </c>
      <c r="O4" s="79" t="inlineStr">
        <is>
          <t>Confidence</t>
        </is>
      </c>
      <c r="P4" s="79" t="inlineStr">
        <is>
          <t>Source URL</t>
        </is>
      </c>
      <c r="Q4" s="79" t="inlineStr">
        <is>
          <t>Notes</t>
        </is>
      </c>
    </row>
    <row r="5">
      <c r="A5" s="85" t="n">
        <v>1</v>
      </c>
      <c r="B5" s="86" t="inlineStr">
        <is>
          <t>Caterpillar / AIP</t>
        </is>
      </c>
      <c r="C5" s="86" t="inlineStr">
        <is>
          <t>Monarch Compute Campus</t>
        </is>
      </c>
      <c r="D5" s="86" t="inlineStr">
        <is>
          <t>Behind-the-meter gas gensets</t>
        </is>
      </c>
      <c r="E5" s="87" t="n">
        <v>46266</v>
      </c>
      <c r="F5" s="87" t="n">
        <v>46600</v>
      </c>
      <c r="G5" s="85" t="n">
        <v>2000</v>
      </c>
      <c r="H5" s="93">
        <f>Assumptions!$B$6</f>
        <v/>
      </c>
      <c r="I5" s="93">
        <f>Assumptions!$B$7</f>
        <v/>
      </c>
      <c r="J5" s="93">
        <f>Assumptions!$B$8</f>
        <v/>
      </c>
      <c r="K5" s="108">
        <f>IF(A5&lt;&gt;1,"",G5*H5*I5/J5)</f>
        <v/>
      </c>
      <c r="L5" s="63">
        <f>IF(OR(E5="",F5=""),"",DATEDIF(E5,F5,"m")+1)</f>
        <v/>
      </c>
      <c r="M5" s="108">
        <f>IF(OR(K5="",L5=""),"",K5/L5)</f>
        <v/>
      </c>
      <c r="N5" s="86" t="inlineStr">
        <is>
          <t>Equipment deliveries contracted</t>
        </is>
      </c>
      <c r="O5" s="86" t="n">
        <v>5</v>
      </c>
      <c r="P5" s="92" t="inlineStr">
        <is>
          <t>https://investors.caterpillar.com/news/news-details/2026/American-Intelligence--Power-Forms-Strategic-Alliance-with-Caterpillar-and-Boyd-CAT-to-Deploy-2-Gigawatts-of-Dedicated-Power-for-Hyperscale-AI-Infrastructure/default.aspx</t>
        </is>
      </c>
      <c r="Q5" s="86" t="inlineStr">
        <is>
          <t>2 GW ordered; deliveries Sep-26 through Aug-27; power delivery begins 2026 and 2 GW online in 2027.</t>
        </is>
      </c>
    </row>
    <row r="6">
      <c r="A6" s="85" t="n">
        <v>0</v>
      </c>
      <c r="B6" s="88" t="n"/>
      <c r="C6" s="88" t="n"/>
      <c r="D6" s="88" t="n"/>
      <c r="E6" s="88" t="n"/>
      <c r="F6" s="88" t="n"/>
      <c r="G6" s="88" t="n"/>
      <c r="H6" s="93">
        <f>Assumptions!$B$6</f>
        <v/>
      </c>
      <c r="I6" s="93">
        <f>Assumptions!$B$7</f>
        <v/>
      </c>
      <c r="J6" s="93">
        <f>Assumptions!$B$8</f>
        <v/>
      </c>
      <c r="K6" s="108">
        <f>IF(A6&lt;&gt;1,"",G6*H6*I6/J6)</f>
        <v/>
      </c>
      <c r="L6" s="63">
        <f>IF(OR(E6="",F6=""),"",DATEDIF(E6,F6,"m")+1)</f>
        <v/>
      </c>
      <c r="M6" s="108">
        <f>IF(OR(K6="",L6=""),"",K6/L6)</f>
        <v/>
      </c>
      <c r="N6" s="88" t="n"/>
      <c r="O6" s="88" t="n"/>
      <c r="P6" s="88" t="n"/>
      <c r="Q6" s="88" t="n"/>
    </row>
    <row r="7">
      <c r="A7" s="85" t="n">
        <v>0</v>
      </c>
      <c r="B7" s="88" t="n"/>
      <c r="C7" s="88" t="n"/>
      <c r="D7" s="88" t="n"/>
      <c r="E7" s="88" t="n"/>
      <c r="F7" s="88" t="n"/>
      <c r="G7" s="88" t="n"/>
      <c r="H7" s="93">
        <f>Assumptions!$B$6</f>
        <v/>
      </c>
      <c r="I7" s="93">
        <f>Assumptions!$B$7</f>
        <v/>
      </c>
      <c r="J7" s="93">
        <f>Assumptions!$B$8</f>
        <v/>
      </c>
      <c r="K7" s="108">
        <f>IF(A7&lt;&gt;1,"",G7*H7*I7/J7)</f>
        <v/>
      </c>
      <c r="L7" s="63">
        <f>IF(OR(E7="",F7=""),"",DATEDIF(E7,F7,"m")+1)</f>
        <v/>
      </c>
      <c r="M7" s="108">
        <f>IF(OR(K7="",L7=""),"",K7/L7)</f>
        <v/>
      </c>
      <c r="N7" s="88" t="n"/>
      <c r="O7" s="88" t="n"/>
      <c r="P7" s="88" t="n"/>
      <c r="Q7" s="88" t="n"/>
    </row>
    <row r="8">
      <c r="A8" s="85" t="n">
        <v>0</v>
      </c>
      <c r="B8" s="88" t="n"/>
      <c r="C8" s="88" t="n"/>
      <c r="D8" s="88" t="n"/>
      <c r="E8" s="88" t="n"/>
      <c r="F8" s="88" t="n"/>
      <c r="G8" s="88" t="n"/>
      <c r="H8" s="93">
        <f>Assumptions!$B$6</f>
        <v/>
      </c>
      <c r="I8" s="93">
        <f>Assumptions!$B$7</f>
        <v/>
      </c>
      <c r="J8" s="93">
        <f>Assumptions!$B$8</f>
        <v/>
      </c>
      <c r="K8" s="108">
        <f>IF(A8&lt;&gt;1,"",G8*H8*I8/J8)</f>
        <v/>
      </c>
      <c r="L8" s="63">
        <f>IF(OR(E8="",F8=""),"",DATEDIF(E8,F8,"m")+1)</f>
        <v/>
      </c>
      <c r="M8" s="108">
        <f>IF(OR(K8="",L8=""),"",K8/L8)</f>
        <v/>
      </c>
      <c r="N8" s="88" t="n"/>
      <c r="O8" s="88" t="n"/>
      <c r="P8" s="88" t="n"/>
      <c r="Q8" s="88" t="n"/>
    </row>
    <row r="9">
      <c r="A9" s="85" t="n">
        <v>0</v>
      </c>
      <c r="B9" s="88" t="n"/>
      <c r="C9" s="88" t="n"/>
      <c r="D9" s="88" t="n"/>
      <c r="E9" s="88" t="n"/>
      <c r="F9" s="88" t="n"/>
      <c r="G9" s="88" t="n"/>
      <c r="H9" s="93">
        <f>Assumptions!$B$6</f>
        <v/>
      </c>
      <c r="I9" s="93">
        <f>Assumptions!$B$7</f>
        <v/>
      </c>
      <c r="J9" s="93">
        <f>Assumptions!$B$8</f>
        <v/>
      </c>
      <c r="K9" s="108">
        <f>IF(A9&lt;&gt;1,"",G9*H9*I9/J9)</f>
        <v/>
      </c>
      <c r="L9" s="63">
        <f>IF(OR(E9="",F9=""),"",DATEDIF(E9,F9,"m")+1)</f>
        <v/>
      </c>
      <c r="M9" s="108">
        <f>IF(OR(K9="",L9=""),"",K9/L9)</f>
        <v/>
      </c>
      <c r="N9" s="88" t="n"/>
      <c r="O9" s="88" t="n"/>
      <c r="P9" s="88" t="n"/>
      <c r="Q9" s="88" t="n"/>
    </row>
    <row r="10">
      <c r="A10" s="85" t="n">
        <v>0</v>
      </c>
      <c r="B10" s="88" t="n"/>
      <c r="C10" s="88" t="n"/>
      <c r="D10" s="88" t="n"/>
      <c r="E10" s="88" t="n"/>
      <c r="F10" s="88" t="n"/>
      <c r="G10" s="88" t="n"/>
      <c r="H10" s="93">
        <f>Assumptions!$B$6</f>
        <v/>
      </c>
      <c r="I10" s="93">
        <f>Assumptions!$B$7</f>
        <v/>
      </c>
      <c r="J10" s="93">
        <f>Assumptions!$B$8</f>
        <v/>
      </c>
      <c r="K10" s="108">
        <f>IF(A10&lt;&gt;1,"",G10*H10*I10/J10)</f>
        <v/>
      </c>
      <c r="L10" s="63">
        <f>IF(OR(E10="",F10=""),"",DATEDIF(E10,F10,"m")+1)</f>
        <v/>
      </c>
      <c r="M10" s="108">
        <f>IF(OR(K10="",L10=""),"",K10/L10)</f>
        <v/>
      </c>
      <c r="N10" s="88" t="n"/>
      <c r="O10" s="88" t="n"/>
      <c r="P10" s="88" t="n"/>
      <c r="Q10" s="88" t="n"/>
    </row>
    <row r="11">
      <c r="A11" s="85" t="n">
        <v>0</v>
      </c>
      <c r="B11" s="88" t="n"/>
      <c r="C11" s="88" t="n"/>
      <c r="D11" s="88" t="n"/>
      <c r="E11" s="88" t="n"/>
      <c r="F11" s="88" t="n"/>
      <c r="G11" s="88" t="n"/>
      <c r="H11" s="93">
        <f>Assumptions!$B$6</f>
        <v/>
      </c>
      <c r="I11" s="93">
        <f>Assumptions!$B$7</f>
        <v/>
      </c>
      <c r="J11" s="93">
        <f>Assumptions!$B$8</f>
        <v/>
      </c>
      <c r="K11" s="108">
        <f>IF(A11&lt;&gt;1,"",G11*H11*I11/J11)</f>
        <v/>
      </c>
      <c r="L11" s="63">
        <f>IF(OR(E11="",F11=""),"",DATEDIF(E11,F11,"m")+1)</f>
        <v/>
      </c>
      <c r="M11" s="108">
        <f>IF(OR(K11="",L11=""),"",K11/L11)</f>
        <v/>
      </c>
      <c r="N11" s="88" t="n"/>
      <c r="O11" s="88" t="n"/>
      <c r="P11" s="88" t="n"/>
      <c r="Q11" s="88" t="n"/>
    </row>
    <row r="12">
      <c r="A12" s="85" t="n">
        <v>0</v>
      </c>
      <c r="B12" s="88" t="n"/>
      <c r="C12" s="88" t="n"/>
      <c r="D12" s="88" t="n"/>
      <c r="E12" s="88" t="n"/>
      <c r="F12" s="88" t="n"/>
      <c r="G12" s="88" t="n"/>
      <c r="H12" s="93">
        <f>Assumptions!$B$6</f>
        <v/>
      </c>
      <c r="I12" s="93">
        <f>Assumptions!$B$7</f>
        <v/>
      </c>
      <c r="J12" s="93">
        <f>Assumptions!$B$8</f>
        <v/>
      </c>
      <c r="K12" s="108">
        <f>IF(A12&lt;&gt;1,"",G12*H12*I12/J12)</f>
        <v/>
      </c>
      <c r="L12" s="63">
        <f>IF(OR(E12="",F12=""),"",DATEDIF(E12,F12,"m")+1)</f>
        <v/>
      </c>
      <c r="M12" s="108">
        <f>IF(OR(K12="",L12=""),"",K12/L12)</f>
        <v/>
      </c>
      <c r="N12" s="88" t="n"/>
      <c r="O12" s="88" t="n"/>
      <c r="P12" s="88" t="n"/>
      <c r="Q12" s="88" t="n"/>
    </row>
    <row r="13">
      <c r="A13" s="85" t="n">
        <v>0</v>
      </c>
      <c r="B13" s="88" t="n"/>
      <c r="C13" s="88" t="n"/>
      <c r="D13" s="88" t="n"/>
      <c r="E13" s="88" t="n"/>
      <c r="F13" s="88" t="n"/>
      <c r="G13" s="88" t="n"/>
      <c r="H13" s="93">
        <f>Assumptions!$B$6</f>
        <v/>
      </c>
      <c r="I13" s="93">
        <f>Assumptions!$B$7</f>
        <v/>
      </c>
      <c r="J13" s="93">
        <f>Assumptions!$B$8</f>
        <v/>
      </c>
      <c r="K13" s="108">
        <f>IF(A13&lt;&gt;1,"",G13*H13*I13/J13)</f>
        <v/>
      </c>
      <c r="L13" s="63">
        <f>IF(OR(E13="",F13=""),"",DATEDIF(E13,F13,"m")+1)</f>
        <v/>
      </c>
      <c r="M13" s="108">
        <f>IF(OR(K13="",L13=""),"",K13/L13)</f>
        <v/>
      </c>
      <c r="N13" s="88" t="n"/>
      <c r="O13" s="88" t="n"/>
      <c r="P13" s="88" t="n"/>
      <c r="Q13" s="88" t="n"/>
    </row>
    <row r="14">
      <c r="A14" s="85" t="n">
        <v>0</v>
      </c>
      <c r="B14" s="88" t="n"/>
      <c r="C14" s="88" t="n"/>
      <c r="D14" s="88" t="n"/>
      <c r="E14" s="88" t="n"/>
      <c r="F14" s="88" t="n"/>
      <c r="G14" s="88" t="n"/>
      <c r="H14" s="93">
        <f>Assumptions!$B$6</f>
        <v/>
      </c>
      <c r="I14" s="93">
        <f>Assumptions!$B$7</f>
        <v/>
      </c>
      <c r="J14" s="93">
        <f>Assumptions!$B$8</f>
        <v/>
      </c>
      <c r="K14" s="108">
        <f>IF(A14&lt;&gt;1,"",G14*H14*I14/J14)</f>
        <v/>
      </c>
      <c r="L14" s="63">
        <f>IF(OR(E14="",F14=""),"",DATEDIF(E14,F14,"m")+1)</f>
        <v/>
      </c>
      <c r="M14" s="108">
        <f>IF(OR(K14="",L14=""),"",K14/L14)</f>
        <v/>
      </c>
      <c r="N14" s="88" t="n"/>
      <c r="O14" s="88" t="n"/>
      <c r="P14" s="88" t="n"/>
      <c r="Q14" s="88" t="n"/>
    </row>
    <row r="15">
      <c r="A15" s="85" t="n">
        <v>0</v>
      </c>
      <c r="B15" s="88" t="n"/>
      <c r="C15" s="88" t="n"/>
      <c r="D15" s="88" t="n"/>
      <c r="E15" s="88" t="n"/>
      <c r="F15" s="88" t="n"/>
      <c r="G15" s="88" t="n"/>
      <c r="H15" s="93">
        <f>Assumptions!$B$6</f>
        <v/>
      </c>
      <c r="I15" s="93">
        <f>Assumptions!$B$7</f>
        <v/>
      </c>
      <c r="J15" s="93">
        <f>Assumptions!$B$8</f>
        <v/>
      </c>
      <c r="K15" s="108">
        <f>IF(A15&lt;&gt;1,"",G15*H15*I15/J15)</f>
        <v/>
      </c>
      <c r="L15" s="63">
        <f>IF(OR(E15="",F15=""),"",DATEDIF(E15,F15,"m")+1)</f>
        <v/>
      </c>
      <c r="M15" s="108">
        <f>IF(OR(K15="",L15=""),"",K15/L15)</f>
        <v/>
      </c>
      <c r="N15" s="88" t="n"/>
      <c r="O15" s="88" t="n"/>
      <c r="P15" s="88" t="n"/>
      <c r="Q15" s="88" t="n"/>
    </row>
    <row r="16">
      <c r="A16" s="85" t="n">
        <v>0</v>
      </c>
      <c r="B16" s="88" t="n"/>
      <c r="C16" s="88" t="n"/>
      <c r="D16" s="88" t="n"/>
      <c r="E16" s="88" t="n"/>
      <c r="F16" s="88" t="n"/>
      <c r="G16" s="88" t="n"/>
      <c r="H16" s="93">
        <f>Assumptions!$B$6</f>
        <v/>
      </c>
      <c r="I16" s="93">
        <f>Assumptions!$B$7</f>
        <v/>
      </c>
      <c r="J16" s="93">
        <f>Assumptions!$B$8</f>
        <v/>
      </c>
      <c r="K16" s="108">
        <f>IF(A16&lt;&gt;1,"",G16*H16*I16/J16)</f>
        <v/>
      </c>
      <c r="L16" s="63">
        <f>IF(OR(E16="",F16=""),"",DATEDIF(E16,F16,"m")+1)</f>
        <v/>
      </c>
      <c r="M16" s="108">
        <f>IF(OR(K16="",L16=""),"",K16/L16)</f>
        <v/>
      </c>
      <c r="N16" s="88" t="n"/>
      <c r="O16" s="88" t="n"/>
      <c r="P16" s="88" t="n"/>
      <c r="Q16" s="88" t="n"/>
    </row>
    <row r="17">
      <c r="A17" s="85" t="n">
        <v>0</v>
      </c>
      <c r="B17" s="88" t="n"/>
      <c r="C17" s="88" t="n"/>
      <c r="D17" s="88" t="n"/>
      <c r="E17" s="88" t="n"/>
      <c r="F17" s="88" t="n"/>
      <c r="G17" s="88" t="n"/>
      <c r="H17" s="93">
        <f>Assumptions!$B$6</f>
        <v/>
      </c>
      <c r="I17" s="93">
        <f>Assumptions!$B$7</f>
        <v/>
      </c>
      <c r="J17" s="93">
        <f>Assumptions!$B$8</f>
        <v/>
      </c>
      <c r="K17" s="108">
        <f>IF(A17&lt;&gt;1,"",G17*H17*I17/J17)</f>
        <v/>
      </c>
      <c r="L17" s="63">
        <f>IF(OR(E17="",F17=""),"",DATEDIF(E17,F17,"m")+1)</f>
        <v/>
      </c>
      <c r="M17" s="108">
        <f>IF(OR(K17="",L17=""),"",K17/L17)</f>
        <v/>
      </c>
      <c r="N17" s="88" t="n"/>
      <c r="O17" s="88" t="n"/>
      <c r="P17" s="88" t="n"/>
      <c r="Q17" s="88" t="n"/>
    </row>
    <row r="18">
      <c r="A18" s="85" t="n">
        <v>0</v>
      </c>
      <c r="B18" s="88" t="n"/>
      <c r="C18" s="88" t="n"/>
      <c r="D18" s="88" t="n"/>
      <c r="E18" s="88" t="n"/>
      <c r="F18" s="88" t="n"/>
      <c r="G18" s="88" t="n"/>
      <c r="H18" s="93">
        <f>Assumptions!$B$6</f>
        <v/>
      </c>
      <c r="I18" s="93">
        <f>Assumptions!$B$7</f>
        <v/>
      </c>
      <c r="J18" s="93">
        <f>Assumptions!$B$8</f>
        <v/>
      </c>
      <c r="K18" s="108">
        <f>IF(A18&lt;&gt;1,"",G18*H18*I18/J18)</f>
        <v/>
      </c>
      <c r="L18" s="63">
        <f>IF(OR(E18="",F18=""),"",DATEDIF(E18,F18,"m")+1)</f>
        <v/>
      </c>
      <c r="M18" s="108">
        <f>IF(OR(K18="",L18=""),"",K18/L18)</f>
        <v/>
      </c>
      <c r="N18" s="88" t="n"/>
      <c r="O18" s="88" t="n"/>
      <c r="P18" s="88" t="n"/>
      <c r="Q18" s="88" t="n"/>
    </row>
    <row r="19">
      <c r="A19" s="85" t="n">
        <v>0</v>
      </c>
      <c r="B19" s="88" t="n"/>
      <c r="C19" s="88" t="n"/>
      <c r="D19" s="88" t="n"/>
      <c r="E19" s="88" t="n"/>
      <c r="F19" s="88" t="n"/>
      <c r="G19" s="88" t="n"/>
      <c r="H19" s="93">
        <f>Assumptions!$B$6</f>
        <v/>
      </c>
      <c r="I19" s="93">
        <f>Assumptions!$B$7</f>
        <v/>
      </c>
      <c r="J19" s="93">
        <f>Assumptions!$B$8</f>
        <v/>
      </c>
      <c r="K19" s="108">
        <f>IF(A19&lt;&gt;1,"",G19*H19*I19/J19)</f>
        <v/>
      </c>
      <c r="L19" s="63">
        <f>IF(OR(E19="",F19=""),"",DATEDIF(E19,F19,"m")+1)</f>
        <v/>
      </c>
      <c r="M19" s="108">
        <f>IF(OR(K19="",L19=""),"",K19/L19)</f>
        <v/>
      </c>
      <c r="N19" s="88" t="n"/>
      <c r="O19" s="88" t="n"/>
      <c r="P19" s="88" t="n"/>
      <c r="Q19" s="88" t="n"/>
    </row>
    <row r="20">
      <c r="A20" s="85" t="n">
        <v>0</v>
      </c>
      <c r="B20" s="88" t="n"/>
      <c r="C20" s="88" t="n"/>
      <c r="D20" s="88" t="n"/>
      <c r="E20" s="88" t="n"/>
      <c r="F20" s="88" t="n"/>
      <c r="G20" s="88" t="n"/>
      <c r="H20" s="93">
        <f>Assumptions!$B$6</f>
        <v/>
      </c>
      <c r="I20" s="93">
        <f>Assumptions!$B$7</f>
        <v/>
      </c>
      <c r="J20" s="93">
        <f>Assumptions!$B$8</f>
        <v/>
      </c>
      <c r="K20" s="108">
        <f>IF(A20&lt;&gt;1,"",G20*H20*I20/J20)</f>
        <v/>
      </c>
      <c r="L20" s="63">
        <f>IF(OR(E20="",F20=""),"",DATEDIF(E20,F20,"m")+1)</f>
        <v/>
      </c>
      <c r="M20" s="108">
        <f>IF(OR(K20="",L20=""),"",K20/L20)</f>
        <v/>
      </c>
      <c r="N20" s="88" t="n"/>
      <c r="O20" s="88" t="n"/>
      <c r="P20" s="88" t="n"/>
      <c r="Q20" s="88" t="n"/>
    </row>
    <row r="21">
      <c r="A21" s="85" t="n">
        <v>0</v>
      </c>
      <c r="B21" s="88" t="n"/>
      <c r="C21" s="88" t="n"/>
      <c r="D21" s="88" t="n"/>
      <c r="E21" s="88" t="n"/>
      <c r="F21" s="88" t="n"/>
      <c r="G21" s="88" t="n"/>
      <c r="H21" s="93">
        <f>Assumptions!$B$6</f>
        <v/>
      </c>
      <c r="I21" s="93">
        <f>Assumptions!$B$7</f>
        <v/>
      </c>
      <c r="J21" s="93">
        <f>Assumptions!$B$8</f>
        <v/>
      </c>
      <c r="K21" s="108">
        <f>IF(A21&lt;&gt;1,"",G21*H21*I21/J21)</f>
        <v/>
      </c>
      <c r="L21" s="63">
        <f>IF(OR(E21="",F21=""),"",DATEDIF(E21,F21,"m")+1)</f>
        <v/>
      </c>
      <c r="M21" s="108">
        <f>IF(OR(K21="",L21=""),"",K21/L21)</f>
        <v/>
      </c>
      <c r="N21" s="88" t="n"/>
      <c r="O21" s="88" t="n"/>
      <c r="P21" s="88" t="n"/>
      <c r="Q21" s="88" t="n"/>
    </row>
    <row r="22">
      <c r="A22" s="85" t="n">
        <v>0</v>
      </c>
      <c r="B22" s="88" t="n"/>
      <c r="C22" s="88" t="n"/>
      <c r="D22" s="88" t="n"/>
      <c r="E22" s="88" t="n"/>
      <c r="F22" s="88" t="n"/>
      <c r="G22" s="88" t="n"/>
      <c r="H22" s="93">
        <f>Assumptions!$B$6</f>
        <v/>
      </c>
      <c r="I22" s="93">
        <f>Assumptions!$B$7</f>
        <v/>
      </c>
      <c r="J22" s="93">
        <f>Assumptions!$B$8</f>
        <v/>
      </c>
      <c r="K22" s="108">
        <f>IF(A22&lt;&gt;1,"",G22*H22*I22/J22)</f>
        <v/>
      </c>
      <c r="L22" s="63">
        <f>IF(OR(E22="",F22=""),"",DATEDIF(E22,F22,"m")+1)</f>
        <v/>
      </c>
      <c r="M22" s="108">
        <f>IF(OR(K22="",L22=""),"",K22/L22)</f>
        <v/>
      </c>
      <c r="N22" s="88" t="n"/>
      <c r="O22" s="88" t="n"/>
      <c r="P22" s="88" t="n"/>
      <c r="Q22" s="88" t="n"/>
    </row>
    <row r="23">
      <c r="A23" s="85" t="n">
        <v>0</v>
      </c>
      <c r="B23" s="88" t="n"/>
      <c r="C23" s="88" t="n"/>
      <c r="D23" s="88" t="n"/>
      <c r="E23" s="88" t="n"/>
      <c r="F23" s="88" t="n"/>
      <c r="G23" s="88" t="n"/>
      <c r="H23" s="93">
        <f>Assumptions!$B$6</f>
        <v/>
      </c>
      <c r="I23" s="93">
        <f>Assumptions!$B$7</f>
        <v/>
      </c>
      <c r="J23" s="93">
        <f>Assumptions!$B$8</f>
        <v/>
      </c>
      <c r="K23" s="108">
        <f>IF(A23&lt;&gt;1,"",G23*H23*I23/J23)</f>
        <v/>
      </c>
      <c r="L23" s="63">
        <f>IF(OR(E23="",F23=""),"",DATEDIF(E23,F23,"m")+1)</f>
        <v/>
      </c>
      <c r="M23" s="108">
        <f>IF(OR(K23="",L23=""),"",K23/L23)</f>
        <v/>
      </c>
      <c r="N23" s="88" t="n"/>
      <c r="O23" s="88" t="n"/>
      <c r="P23" s="88" t="n"/>
      <c r="Q23" s="88" t="n"/>
    </row>
    <row r="24">
      <c r="A24" s="85" t="n">
        <v>0</v>
      </c>
      <c r="B24" s="88" t="n"/>
      <c r="C24" s="88" t="n"/>
      <c r="D24" s="88" t="n"/>
      <c r="E24" s="88" t="n"/>
      <c r="F24" s="88" t="n"/>
      <c r="G24" s="88" t="n"/>
      <c r="H24" s="93">
        <f>Assumptions!$B$6</f>
        <v/>
      </c>
      <c r="I24" s="93">
        <f>Assumptions!$B$7</f>
        <v/>
      </c>
      <c r="J24" s="93">
        <f>Assumptions!$B$8</f>
        <v/>
      </c>
      <c r="K24" s="108">
        <f>IF(A24&lt;&gt;1,"",G24*H24*I24/J24)</f>
        <v/>
      </c>
      <c r="L24" s="63">
        <f>IF(OR(E24="",F24=""),"",DATEDIF(E24,F24,"m")+1)</f>
        <v/>
      </c>
      <c r="M24" s="108">
        <f>IF(OR(K24="",L24=""),"",K24/L24)</f>
        <v/>
      </c>
      <c r="N24" s="88" t="n"/>
      <c r="O24" s="88" t="n"/>
      <c r="P24" s="88" t="n"/>
      <c r="Q24" s="88" t="n"/>
    </row>
    <row r="25">
      <c r="A25" s="85" t="n">
        <v>0</v>
      </c>
      <c r="B25" s="88" t="n"/>
      <c r="C25" s="88" t="n"/>
      <c r="D25" s="88" t="n"/>
      <c r="E25" s="88" t="n"/>
      <c r="F25" s="88" t="n"/>
      <c r="G25" s="88" t="n"/>
      <c r="H25" s="93">
        <f>Assumptions!$B$6</f>
        <v/>
      </c>
      <c r="I25" s="93">
        <f>Assumptions!$B$7</f>
        <v/>
      </c>
      <c r="J25" s="93">
        <f>Assumptions!$B$8</f>
        <v/>
      </c>
      <c r="K25" s="108">
        <f>IF(A25&lt;&gt;1,"",G25*H25*I25/J25)</f>
        <v/>
      </c>
      <c r="L25" s="63">
        <f>IF(OR(E25="",F25=""),"",DATEDIF(E25,F25,"m")+1)</f>
        <v/>
      </c>
      <c r="M25" s="108">
        <f>IF(OR(K25="",L25=""),"",K25/L25)</f>
        <v/>
      </c>
      <c r="N25" s="88" t="n"/>
      <c r="O25" s="88" t="n"/>
      <c r="P25" s="88" t="n"/>
      <c r="Q25" s="88" t="n"/>
    </row>
    <row r="26">
      <c r="A26" s="85" t="n">
        <v>0</v>
      </c>
      <c r="B26" s="88" t="n"/>
      <c r="C26" s="88" t="n"/>
      <c r="D26" s="88" t="n"/>
      <c r="E26" s="88" t="n"/>
      <c r="F26" s="88" t="n"/>
      <c r="G26" s="88" t="n"/>
      <c r="H26" s="93">
        <f>Assumptions!$B$6</f>
        <v/>
      </c>
      <c r="I26" s="93">
        <f>Assumptions!$B$7</f>
        <v/>
      </c>
      <c r="J26" s="93">
        <f>Assumptions!$B$8</f>
        <v/>
      </c>
      <c r="K26" s="108">
        <f>IF(A26&lt;&gt;1,"",G26*H26*I26/J26)</f>
        <v/>
      </c>
      <c r="L26" s="63">
        <f>IF(OR(E26="",F26=""),"",DATEDIF(E26,F26,"m")+1)</f>
        <v/>
      </c>
      <c r="M26" s="108">
        <f>IF(OR(K26="",L26=""),"",K26/L26)</f>
        <v/>
      </c>
      <c r="N26" s="88" t="n"/>
      <c r="O26" s="88" t="n"/>
      <c r="P26" s="88" t="n"/>
      <c r="Q26" s="88" t="n"/>
    </row>
    <row r="27">
      <c r="A27" s="85" t="n">
        <v>0</v>
      </c>
      <c r="B27" s="88" t="n"/>
      <c r="C27" s="88" t="n"/>
      <c r="D27" s="88" t="n"/>
      <c r="E27" s="88" t="n"/>
      <c r="F27" s="88" t="n"/>
      <c r="G27" s="88" t="n"/>
      <c r="H27" s="93">
        <f>Assumptions!$B$6</f>
        <v/>
      </c>
      <c r="I27" s="93">
        <f>Assumptions!$B$7</f>
        <v/>
      </c>
      <c r="J27" s="93">
        <f>Assumptions!$B$8</f>
        <v/>
      </c>
      <c r="K27" s="108">
        <f>IF(A27&lt;&gt;1,"",G27*H27*I27/J27)</f>
        <v/>
      </c>
      <c r="L27" s="63">
        <f>IF(OR(E27="",F27=""),"",DATEDIF(E27,F27,"m")+1)</f>
        <v/>
      </c>
      <c r="M27" s="108">
        <f>IF(OR(K27="",L27=""),"",K27/L27)</f>
        <v/>
      </c>
      <c r="N27" s="88" t="n"/>
      <c r="O27" s="88" t="n"/>
      <c r="P27" s="88" t="n"/>
      <c r="Q27" s="88" t="n"/>
    </row>
    <row r="28">
      <c r="A28" s="85" t="n">
        <v>0</v>
      </c>
      <c r="B28" s="88" t="n"/>
      <c r="C28" s="88" t="n"/>
      <c r="D28" s="88" t="n"/>
      <c r="E28" s="88" t="n"/>
      <c r="F28" s="88" t="n"/>
      <c r="G28" s="88" t="n"/>
      <c r="H28" s="93">
        <f>Assumptions!$B$6</f>
        <v/>
      </c>
      <c r="I28" s="93">
        <f>Assumptions!$B$7</f>
        <v/>
      </c>
      <c r="J28" s="93">
        <f>Assumptions!$B$8</f>
        <v/>
      </c>
      <c r="K28" s="108">
        <f>IF(A28&lt;&gt;1,"",G28*H28*I28/J28)</f>
        <v/>
      </c>
      <c r="L28" s="63">
        <f>IF(OR(E28="",F28=""),"",DATEDIF(E28,F28,"m")+1)</f>
        <v/>
      </c>
      <c r="M28" s="108">
        <f>IF(OR(K28="",L28=""),"",K28/L28)</f>
        <v/>
      </c>
      <c r="N28" s="88" t="n"/>
      <c r="O28" s="88" t="n"/>
      <c r="P28" s="88" t="n"/>
      <c r="Q28" s="88" t="n"/>
    </row>
    <row r="29">
      <c r="A29" s="85" t="n">
        <v>0</v>
      </c>
      <c r="B29" s="88" t="n"/>
      <c r="C29" s="88" t="n"/>
      <c r="D29" s="88" t="n"/>
      <c r="E29" s="88" t="n"/>
      <c r="F29" s="88" t="n"/>
      <c r="G29" s="88" t="n"/>
      <c r="H29" s="93">
        <f>Assumptions!$B$6</f>
        <v/>
      </c>
      <c r="I29" s="93">
        <f>Assumptions!$B$7</f>
        <v/>
      </c>
      <c r="J29" s="93">
        <f>Assumptions!$B$8</f>
        <v/>
      </c>
      <c r="K29" s="108">
        <f>IF(A29&lt;&gt;1,"",G29*H29*I29/J29)</f>
        <v/>
      </c>
      <c r="L29" s="63">
        <f>IF(OR(E29="",F29=""),"",DATEDIF(E29,F29,"m")+1)</f>
        <v/>
      </c>
      <c r="M29" s="108">
        <f>IF(OR(K29="",L29=""),"",K29/L29)</f>
        <v/>
      </c>
      <c r="N29" s="88" t="n"/>
      <c r="O29" s="88" t="n"/>
      <c r="P29" s="88" t="n"/>
      <c r="Q29" s="88" t="n"/>
    </row>
    <row r="30">
      <c r="A30" s="85" t="n">
        <v>0</v>
      </c>
      <c r="B30" s="88" t="n"/>
      <c r="C30" s="88" t="n"/>
      <c r="D30" s="88" t="n"/>
      <c r="E30" s="88" t="n"/>
      <c r="F30" s="88" t="n"/>
      <c r="G30" s="88" t="n"/>
      <c r="H30" s="93">
        <f>Assumptions!$B$6</f>
        <v/>
      </c>
      <c r="I30" s="93">
        <f>Assumptions!$B$7</f>
        <v/>
      </c>
      <c r="J30" s="93">
        <f>Assumptions!$B$8</f>
        <v/>
      </c>
      <c r="K30" s="108">
        <f>IF(A30&lt;&gt;1,"",G30*H30*I30/J30)</f>
        <v/>
      </c>
      <c r="L30" s="63">
        <f>IF(OR(E30="",F30=""),"",DATEDIF(E30,F30,"m")+1)</f>
        <v/>
      </c>
      <c r="M30" s="108">
        <f>IF(OR(K30="",L30=""),"",K30/L30)</f>
        <v/>
      </c>
      <c r="N30" s="88" t="n"/>
      <c r="O30" s="88" t="n"/>
      <c r="P30" s="88" t="n"/>
      <c r="Q30" s="88" t="n"/>
    </row>
    <row r="31">
      <c r="A31" s="85" t="n">
        <v>0</v>
      </c>
      <c r="B31" s="88" t="n"/>
      <c r="C31" s="88" t="n"/>
      <c r="D31" s="88" t="n"/>
      <c r="E31" s="88" t="n"/>
      <c r="F31" s="88" t="n"/>
      <c r="G31" s="88" t="n"/>
      <c r="H31" s="93">
        <f>Assumptions!$B$6</f>
        <v/>
      </c>
      <c r="I31" s="93">
        <f>Assumptions!$B$7</f>
        <v/>
      </c>
      <c r="J31" s="93">
        <f>Assumptions!$B$8</f>
        <v/>
      </c>
      <c r="K31" s="108">
        <f>IF(A31&lt;&gt;1,"",G31*H31*I31/J31)</f>
        <v/>
      </c>
      <c r="L31" s="63">
        <f>IF(OR(E31="",F31=""),"",DATEDIF(E31,F31,"m")+1)</f>
        <v/>
      </c>
      <c r="M31" s="108">
        <f>IF(OR(K31="",L31=""),"",K31/L31)</f>
        <v/>
      </c>
      <c r="N31" s="88" t="n"/>
      <c r="O31" s="88" t="n"/>
      <c r="P31" s="88" t="n"/>
      <c r="Q31" s="88" t="n"/>
    </row>
    <row r="32">
      <c r="A32" s="85" t="n">
        <v>0</v>
      </c>
      <c r="B32" s="88" t="n"/>
      <c r="C32" s="88" t="n"/>
      <c r="D32" s="88" t="n"/>
      <c r="E32" s="88" t="n"/>
      <c r="F32" s="88" t="n"/>
      <c r="G32" s="88" t="n"/>
      <c r="H32" s="93">
        <f>Assumptions!$B$6</f>
        <v/>
      </c>
      <c r="I32" s="93">
        <f>Assumptions!$B$7</f>
        <v/>
      </c>
      <c r="J32" s="93">
        <f>Assumptions!$B$8</f>
        <v/>
      </c>
      <c r="K32" s="108">
        <f>IF(A32&lt;&gt;1,"",G32*H32*I32/J32)</f>
        <v/>
      </c>
      <c r="L32" s="63">
        <f>IF(OR(E32="",F32=""),"",DATEDIF(E32,F32,"m")+1)</f>
        <v/>
      </c>
      <c r="M32" s="108">
        <f>IF(OR(K32="",L32=""),"",K32/L32)</f>
        <v/>
      </c>
      <c r="N32" s="88" t="n"/>
      <c r="O32" s="88" t="n"/>
      <c r="P32" s="88" t="n"/>
      <c r="Q32" s="88" t="n"/>
    </row>
    <row r="33">
      <c r="A33" s="85" t="n">
        <v>0</v>
      </c>
      <c r="B33" s="88" t="n"/>
      <c r="C33" s="88" t="n"/>
      <c r="D33" s="88" t="n"/>
      <c r="E33" s="88" t="n"/>
      <c r="F33" s="88" t="n"/>
      <c r="G33" s="88" t="n"/>
      <c r="H33" s="93">
        <f>Assumptions!$B$6</f>
        <v/>
      </c>
      <c r="I33" s="93">
        <f>Assumptions!$B$7</f>
        <v/>
      </c>
      <c r="J33" s="93">
        <f>Assumptions!$B$8</f>
        <v/>
      </c>
      <c r="K33" s="108">
        <f>IF(A33&lt;&gt;1,"",G33*H33*I33/J33)</f>
        <v/>
      </c>
      <c r="L33" s="63">
        <f>IF(OR(E33="",F33=""),"",DATEDIF(E33,F33,"m")+1)</f>
        <v/>
      </c>
      <c r="M33" s="108">
        <f>IF(OR(K33="",L33=""),"",K33/L33)</f>
        <v/>
      </c>
      <c r="N33" s="88" t="n"/>
      <c r="O33" s="88" t="n"/>
      <c r="P33" s="88" t="n"/>
      <c r="Q33" s="88" t="n"/>
    </row>
    <row r="34">
      <c r="A34" s="85" t="n">
        <v>0</v>
      </c>
      <c r="B34" s="88" t="n"/>
      <c r="C34" s="88" t="n"/>
      <c r="D34" s="88" t="n"/>
      <c r="E34" s="88" t="n"/>
      <c r="F34" s="88" t="n"/>
      <c r="G34" s="88" t="n"/>
      <c r="H34" s="93">
        <f>Assumptions!$B$6</f>
        <v/>
      </c>
      <c r="I34" s="93">
        <f>Assumptions!$B$7</f>
        <v/>
      </c>
      <c r="J34" s="93">
        <f>Assumptions!$B$8</f>
        <v/>
      </c>
      <c r="K34" s="108">
        <f>IF(A34&lt;&gt;1,"",G34*H34*I34/J34)</f>
        <v/>
      </c>
      <c r="L34" s="63">
        <f>IF(OR(E34="",F34=""),"",DATEDIF(E34,F34,"m")+1)</f>
        <v/>
      </c>
      <c r="M34" s="108">
        <f>IF(OR(K34="",L34=""),"",K34/L34)</f>
        <v/>
      </c>
      <c r="N34" s="88" t="n"/>
      <c r="O34" s="88" t="n"/>
      <c r="P34" s="88" t="n"/>
      <c r="Q34" s="88" t="n"/>
    </row>
    <row r="35">
      <c r="A35" s="85" t="n">
        <v>0</v>
      </c>
      <c r="B35" s="88" t="n"/>
      <c r="C35" s="88" t="n"/>
      <c r="D35" s="88" t="n"/>
      <c r="E35" s="88" t="n"/>
      <c r="F35" s="88" t="n"/>
      <c r="G35" s="88" t="n"/>
      <c r="H35" s="93">
        <f>Assumptions!$B$6</f>
        <v/>
      </c>
      <c r="I35" s="93">
        <f>Assumptions!$B$7</f>
        <v/>
      </c>
      <c r="J35" s="93">
        <f>Assumptions!$B$8</f>
        <v/>
      </c>
      <c r="K35" s="108">
        <f>IF(A35&lt;&gt;1,"",G35*H35*I35/J35)</f>
        <v/>
      </c>
      <c r="L35" s="63">
        <f>IF(OR(E35="",F35=""),"",DATEDIF(E35,F35,"m")+1)</f>
        <v/>
      </c>
      <c r="M35" s="108">
        <f>IF(OR(K35="",L35=""),"",K35/L35)</f>
        <v/>
      </c>
      <c r="N35" s="88" t="n"/>
      <c r="O35" s="88" t="n"/>
      <c r="P35" s="88" t="n"/>
      <c r="Q35" s="88" t="n"/>
    </row>
    <row r="36">
      <c r="A36" s="85" t="n">
        <v>0</v>
      </c>
      <c r="B36" s="88" t="n"/>
      <c r="C36" s="88" t="n"/>
      <c r="D36" s="88" t="n"/>
      <c r="E36" s="88" t="n"/>
      <c r="F36" s="88" t="n"/>
      <c r="G36" s="88" t="n"/>
      <c r="H36" s="93">
        <f>Assumptions!$B$6</f>
        <v/>
      </c>
      <c r="I36" s="93">
        <f>Assumptions!$B$7</f>
        <v/>
      </c>
      <c r="J36" s="93">
        <f>Assumptions!$B$8</f>
        <v/>
      </c>
      <c r="K36" s="108">
        <f>IF(A36&lt;&gt;1,"",G36*H36*I36/J36)</f>
        <v/>
      </c>
      <c r="L36" s="63">
        <f>IF(OR(E36="",F36=""),"",DATEDIF(E36,F36,"m")+1)</f>
        <v/>
      </c>
      <c r="M36" s="108">
        <f>IF(OR(K36="",L36=""),"",K36/L36)</f>
        <v/>
      </c>
      <c r="N36" s="88" t="n"/>
      <c r="O36" s="88" t="n"/>
      <c r="P36" s="88" t="n"/>
      <c r="Q36" s="88" t="n"/>
    </row>
    <row r="37">
      <c r="A37" s="85" t="n">
        <v>0</v>
      </c>
      <c r="B37" s="88" t="n"/>
      <c r="C37" s="88" t="n"/>
      <c r="D37" s="88" t="n"/>
      <c r="E37" s="88" t="n"/>
      <c r="F37" s="88" t="n"/>
      <c r="G37" s="88" t="n"/>
      <c r="H37" s="93">
        <f>Assumptions!$B$6</f>
        <v/>
      </c>
      <c r="I37" s="93">
        <f>Assumptions!$B$7</f>
        <v/>
      </c>
      <c r="J37" s="93">
        <f>Assumptions!$B$8</f>
        <v/>
      </c>
      <c r="K37" s="108">
        <f>IF(A37&lt;&gt;1,"",G37*H37*I37/J37)</f>
        <v/>
      </c>
      <c r="L37" s="63">
        <f>IF(OR(E37="",F37=""),"",DATEDIF(E37,F37,"m")+1)</f>
        <v/>
      </c>
      <c r="M37" s="108">
        <f>IF(OR(K37="",L37=""),"",K37/L37)</f>
        <v/>
      </c>
      <c r="N37" s="88" t="n"/>
      <c r="O37" s="88" t="n"/>
      <c r="P37" s="88" t="n"/>
      <c r="Q37" s="88" t="n"/>
    </row>
    <row r="38">
      <c r="A38" s="85" t="n">
        <v>0</v>
      </c>
      <c r="B38" s="88" t="n"/>
      <c r="C38" s="88" t="n"/>
      <c r="D38" s="88" t="n"/>
      <c r="E38" s="88" t="n"/>
      <c r="F38" s="88" t="n"/>
      <c r="G38" s="88" t="n"/>
      <c r="H38" s="93">
        <f>Assumptions!$B$6</f>
        <v/>
      </c>
      <c r="I38" s="93">
        <f>Assumptions!$B$7</f>
        <v/>
      </c>
      <c r="J38" s="93">
        <f>Assumptions!$B$8</f>
        <v/>
      </c>
      <c r="K38" s="108">
        <f>IF(A38&lt;&gt;1,"",G38*H38*I38/J38)</f>
        <v/>
      </c>
      <c r="L38" s="63">
        <f>IF(OR(E38="",F38=""),"",DATEDIF(E38,F38,"m")+1)</f>
        <v/>
      </c>
      <c r="M38" s="108">
        <f>IF(OR(K38="",L38=""),"",K38/L38)</f>
        <v/>
      </c>
      <c r="N38" s="88" t="n"/>
      <c r="O38" s="88" t="n"/>
      <c r="P38" s="88" t="n"/>
      <c r="Q38" s="88" t="n"/>
    </row>
    <row r="39">
      <c r="A39" s="85" t="n">
        <v>0</v>
      </c>
      <c r="B39" s="88" t="n"/>
      <c r="C39" s="88" t="n"/>
      <c r="D39" s="88" t="n"/>
      <c r="E39" s="88" t="n"/>
      <c r="F39" s="88" t="n"/>
      <c r="G39" s="88" t="n"/>
      <c r="H39" s="93">
        <f>Assumptions!$B$6</f>
        <v/>
      </c>
      <c r="I39" s="93">
        <f>Assumptions!$B$7</f>
        <v/>
      </c>
      <c r="J39" s="93">
        <f>Assumptions!$B$8</f>
        <v/>
      </c>
      <c r="K39" s="108">
        <f>IF(A39&lt;&gt;1,"",G39*H39*I39/J39)</f>
        <v/>
      </c>
      <c r="L39" s="63">
        <f>IF(OR(E39="",F39=""),"",DATEDIF(E39,F39,"m")+1)</f>
        <v/>
      </c>
      <c r="M39" s="108">
        <f>IF(OR(K39="",L39=""),"",K39/L39)</f>
        <v/>
      </c>
      <c r="N39" s="88" t="n"/>
      <c r="O39" s="88" t="n"/>
      <c r="P39" s="88" t="n"/>
      <c r="Q39" s="88" t="n"/>
    </row>
    <row r="40">
      <c r="A40" s="85" t="n">
        <v>0</v>
      </c>
      <c r="B40" s="88" t="n"/>
      <c r="C40" s="88" t="n"/>
      <c r="D40" s="88" t="n"/>
      <c r="E40" s="88" t="n"/>
      <c r="F40" s="88" t="n"/>
      <c r="G40" s="88" t="n"/>
      <c r="H40" s="93">
        <f>Assumptions!$B$6</f>
        <v/>
      </c>
      <c r="I40" s="93">
        <f>Assumptions!$B$7</f>
        <v/>
      </c>
      <c r="J40" s="93">
        <f>Assumptions!$B$8</f>
        <v/>
      </c>
      <c r="K40" s="108">
        <f>IF(A40&lt;&gt;1,"",G40*H40*I40/J40)</f>
        <v/>
      </c>
      <c r="L40" s="63">
        <f>IF(OR(E40="",F40=""),"",DATEDIF(E40,F40,"m")+1)</f>
        <v/>
      </c>
      <c r="M40" s="108">
        <f>IF(OR(K40="",L40=""),"",K40/L40)</f>
        <v/>
      </c>
      <c r="N40" s="88" t="n"/>
      <c r="O40" s="88" t="n"/>
      <c r="P40" s="88" t="n"/>
      <c r="Q40" s="88" t="n"/>
    </row>
    <row r="41">
      <c r="A41" s="85" t="n">
        <v>0</v>
      </c>
      <c r="B41" s="88" t="n"/>
      <c r="C41" s="88" t="n"/>
      <c r="D41" s="88" t="n"/>
      <c r="E41" s="88" t="n"/>
      <c r="F41" s="88" t="n"/>
      <c r="G41" s="88" t="n"/>
      <c r="H41" s="93">
        <f>Assumptions!$B$6</f>
        <v/>
      </c>
      <c r="I41" s="93">
        <f>Assumptions!$B$7</f>
        <v/>
      </c>
      <c r="J41" s="93">
        <f>Assumptions!$B$8</f>
        <v/>
      </c>
      <c r="K41" s="108">
        <f>IF(A41&lt;&gt;1,"",G41*H41*I41/J41)</f>
        <v/>
      </c>
      <c r="L41" s="63">
        <f>IF(OR(E41="",F41=""),"",DATEDIF(E41,F41,"m")+1)</f>
        <v/>
      </c>
      <c r="M41" s="108">
        <f>IF(OR(K41="",L41=""),"",K41/L41)</f>
        <v/>
      </c>
      <c r="N41" s="88" t="n"/>
      <c r="O41" s="88" t="n"/>
      <c r="P41" s="88" t="n"/>
      <c r="Q41" s="88" t="n"/>
    </row>
    <row r="42">
      <c r="A42" s="85" t="n">
        <v>0</v>
      </c>
      <c r="B42" s="88" t="n"/>
      <c r="C42" s="88" t="n"/>
      <c r="D42" s="88" t="n"/>
      <c r="E42" s="88" t="n"/>
      <c r="F42" s="88" t="n"/>
      <c r="G42" s="88" t="n"/>
      <c r="H42" s="93">
        <f>Assumptions!$B$6</f>
        <v/>
      </c>
      <c r="I42" s="93">
        <f>Assumptions!$B$7</f>
        <v/>
      </c>
      <c r="J42" s="93">
        <f>Assumptions!$B$8</f>
        <v/>
      </c>
      <c r="K42" s="108">
        <f>IF(A42&lt;&gt;1,"",G42*H42*I42/J42)</f>
        <v/>
      </c>
      <c r="L42" s="63">
        <f>IF(OR(E42="",F42=""),"",DATEDIF(E42,F42,"m")+1)</f>
        <v/>
      </c>
      <c r="M42" s="108">
        <f>IF(OR(K42="",L42=""),"",K42/L42)</f>
        <v/>
      </c>
      <c r="N42" s="88" t="n"/>
      <c r="O42" s="88" t="n"/>
      <c r="P42" s="88" t="n"/>
      <c r="Q42" s="88" t="n"/>
    </row>
    <row r="43">
      <c r="A43" s="85" t="n">
        <v>0</v>
      </c>
      <c r="B43" s="88" t="n"/>
      <c r="C43" s="88" t="n"/>
      <c r="D43" s="88" t="n"/>
      <c r="E43" s="88" t="n"/>
      <c r="F43" s="88" t="n"/>
      <c r="G43" s="88" t="n"/>
      <c r="H43" s="93">
        <f>Assumptions!$B$6</f>
        <v/>
      </c>
      <c r="I43" s="93">
        <f>Assumptions!$B$7</f>
        <v/>
      </c>
      <c r="J43" s="93">
        <f>Assumptions!$B$8</f>
        <v/>
      </c>
      <c r="K43" s="108">
        <f>IF(A43&lt;&gt;1,"",G43*H43*I43/J43)</f>
        <v/>
      </c>
      <c r="L43" s="63">
        <f>IF(OR(E43="",F43=""),"",DATEDIF(E43,F43,"m")+1)</f>
        <v/>
      </c>
      <c r="M43" s="108">
        <f>IF(OR(K43="",L43=""),"",K43/L43)</f>
        <v/>
      </c>
      <c r="N43" s="88" t="n"/>
      <c r="O43" s="88" t="n"/>
      <c r="P43" s="88" t="n"/>
      <c r="Q43" s="88" t="n"/>
    </row>
    <row r="44">
      <c r="A44" s="85" t="n">
        <v>0</v>
      </c>
      <c r="B44" s="88" t="n"/>
      <c r="C44" s="88" t="n"/>
      <c r="D44" s="88" t="n"/>
      <c r="E44" s="88" t="n"/>
      <c r="F44" s="88" t="n"/>
      <c r="G44" s="88" t="n"/>
      <c r="H44" s="93">
        <f>Assumptions!$B$6</f>
        <v/>
      </c>
      <c r="I44" s="93">
        <f>Assumptions!$B$7</f>
        <v/>
      </c>
      <c r="J44" s="93">
        <f>Assumptions!$B$8</f>
        <v/>
      </c>
      <c r="K44" s="108">
        <f>IF(A44&lt;&gt;1,"",G44*H44*I44/J44)</f>
        <v/>
      </c>
      <c r="L44" s="63">
        <f>IF(OR(E44="",F44=""),"",DATEDIF(E44,F44,"m")+1)</f>
        <v/>
      </c>
      <c r="M44" s="108">
        <f>IF(OR(K44="",L44=""),"",K44/L44)</f>
        <v/>
      </c>
      <c r="N44" s="88" t="n"/>
      <c r="O44" s="88" t="n"/>
      <c r="P44" s="88" t="n"/>
      <c r="Q44" s="88" t="n"/>
    </row>
    <row r="45">
      <c r="A45" s="85" t="n">
        <v>0</v>
      </c>
      <c r="B45" s="88" t="n"/>
      <c r="C45" s="88" t="n"/>
      <c r="D45" s="88" t="n"/>
      <c r="E45" s="88" t="n"/>
      <c r="F45" s="88" t="n"/>
      <c r="G45" s="88" t="n"/>
      <c r="H45" s="93">
        <f>Assumptions!$B$6</f>
        <v/>
      </c>
      <c r="I45" s="93">
        <f>Assumptions!$B$7</f>
        <v/>
      </c>
      <c r="J45" s="93">
        <f>Assumptions!$B$8</f>
        <v/>
      </c>
      <c r="K45" s="108">
        <f>IF(A45&lt;&gt;1,"",G45*H45*I45/J45)</f>
        <v/>
      </c>
      <c r="L45" s="63">
        <f>IF(OR(E45="",F45=""),"",DATEDIF(E45,F45,"m")+1)</f>
        <v/>
      </c>
      <c r="M45" s="108">
        <f>IF(OR(K45="",L45=""),"",K45/L45)</f>
        <v/>
      </c>
      <c r="N45" s="88" t="n"/>
      <c r="O45" s="88" t="n"/>
      <c r="P45" s="88" t="n"/>
      <c r="Q45" s="88" t="n"/>
    </row>
    <row r="46">
      <c r="A46" s="85" t="n">
        <v>0</v>
      </c>
      <c r="B46" s="88" t="n"/>
      <c r="C46" s="88" t="n"/>
      <c r="D46" s="88" t="n"/>
      <c r="E46" s="88" t="n"/>
      <c r="F46" s="88" t="n"/>
      <c r="G46" s="88" t="n"/>
      <c r="H46" s="93">
        <f>Assumptions!$B$6</f>
        <v/>
      </c>
      <c r="I46" s="93">
        <f>Assumptions!$B$7</f>
        <v/>
      </c>
      <c r="J46" s="93">
        <f>Assumptions!$B$8</f>
        <v/>
      </c>
      <c r="K46" s="108">
        <f>IF(A46&lt;&gt;1,"",G46*H46*I46/J46)</f>
        <v/>
      </c>
      <c r="L46" s="63">
        <f>IF(OR(E46="",F46=""),"",DATEDIF(E46,F46,"m")+1)</f>
        <v/>
      </c>
      <c r="M46" s="108">
        <f>IF(OR(K46="",L46=""),"",K46/L46)</f>
        <v/>
      </c>
      <c r="N46" s="88" t="n"/>
      <c r="O46" s="88" t="n"/>
      <c r="P46" s="88" t="n"/>
      <c r="Q46" s="88" t="n"/>
    </row>
    <row r="47">
      <c r="A47" s="85" t="n">
        <v>0</v>
      </c>
      <c r="B47" s="88" t="n"/>
      <c r="C47" s="88" t="n"/>
      <c r="D47" s="88" t="n"/>
      <c r="E47" s="88" t="n"/>
      <c r="F47" s="88" t="n"/>
      <c r="G47" s="88" t="n"/>
      <c r="H47" s="93">
        <f>Assumptions!$B$6</f>
        <v/>
      </c>
      <c r="I47" s="93">
        <f>Assumptions!$B$7</f>
        <v/>
      </c>
      <c r="J47" s="93">
        <f>Assumptions!$B$8</f>
        <v/>
      </c>
      <c r="K47" s="108">
        <f>IF(A47&lt;&gt;1,"",G47*H47*I47/J47)</f>
        <v/>
      </c>
      <c r="L47" s="63">
        <f>IF(OR(E47="",F47=""),"",DATEDIF(E47,F47,"m")+1)</f>
        <v/>
      </c>
      <c r="M47" s="108">
        <f>IF(OR(K47="",L47=""),"",K47/L47)</f>
        <v/>
      </c>
      <c r="N47" s="88" t="n"/>
      <c r="O47" s="88" t="n"/>
      <c r="P47" s="88" t="n"/>
      <c r="Q47" s="88" t="n"/>
    </row>
    <row r="48">
      <c r="A48" s="85" t="n">
        <v>0</v>
      </c>
      <c r="B48" s="88" t="n"/>
      <c r="C48" s="88" t="n"/>
      <c r="D48" s="88" t="n"/>
      <c r="E48" s="88" t="n"/>
      <c r="F48" s="88" t="n"/>
      <c r="G48" s="88" t="n"/>
      <c r="H48" s="93">
        <f>Assumptions!$B$6</f>
        <v/>
      </c>
      <c r="I48" s="93">
        <f>Assumptions!$B$7</f>
        <v/>
      </c>
      <c r="J48" s="93">
        <f>Assumptions!$B$8</f>
        <v/>
      </c>
      <c r="K48" s="108">
        <f>IF(A48&lt;&gt;1,"",G48*H48*I48/J48)</f>
        <v/>
      </c>
      <c r="L48" s="63">
        <f>IF(OR(E48="",F48=""),"",DATEDIF(E48,F48,"m")+1)</f>
        <v/>
      </c>
      <c r="M48" s="108">
        <f>IF(OR(K48="",L48=""),"",K48/L48)</f>
        <v/>
      </c>
      <c r="N48" s="88" t="n"/>
      <c r="O48" s="88" t="n"/>
      <c r="P48" s="88" t="n"/>
      <c r="Q48" s="88" t="n"/>
    </row>
    <row r="49">
      <c r="A49" s="85" t="n">
        <v>0</v>
      </c>
      <c r="B49" s="88" t="n"/>
      <c r="C49" s="88" t="n"/>
      <c r="D49" s="88" t="n"/>
      <c r="E49" s="88" t="n"/>
      <c r="F49" s="88" t="n"/>
      <c r="G49" s="88" t="n"/>
      <c r="H49" s="93">
        <f>Assumptions!$B$6</f>
        <v/>
      </c>
      <c r="I49" s="93">
        <f>Assumptions!$B$7</f>
        <v/>
      </c>
      <c r="J49" s="93">
        <f>Assumptions!$B$8</f>
        <v/>
      </c>
      <c r="K49" s="108">
        <f>IF(A49&lt;&gt;1,"",G49*H49*I49/J49)</f>
        <v/>
      </c>
      <c r="L49" s="63">
        <f>IF(OR(E49="",F49=""),"",DATEDIF(E49,F49,"m")+1)</f>
        <v/>
      </c>
      <c r="M49" s="108">
        <f>IF(OR(K49="",L49=""),"",K49/L49)</f>
        <v/>
      </c>
      <c r="N49" s="88" t="n"/>
      <c r="O49" s="88" t="n"/>
      <c r="P49" s="88" t="n"/>
      <c r="Q49" s="88" t="n"/>
    </row>
    <row r="50">
      <c r="A50" s="85" t="n">
        <v>0</v>
      </c>
      <c r="B50" s="88" t="n"/>
      <c r="C50" s="88" t="n"/>
      <c r="D50" s="88" t="n"/>
      <c r="E50" s="88" t="n"/>
      <c r="F50" s="88" t="n"/>
      <c r="G50" s="88" t="n"/>
      <c r="H50" s="93">
        <f>Assumptions!$B$6</f>
        <v/>
      </c>
      <c r="I50" s="93">
        <f>Assumptions!$B$7</f>
        <v/>
      </c>
      <c r="J50" s="93">
        <f>Assumptions!$B$8</f>
        <v/>
      </c>
      <c r="K50" s="108">
        <f>IF(A50&lt;&gt;1,"",G50*H50*I50/J50)</f>
        <v/>
      </c>
      <c r="L50" s="63">
        <f>IF(OR(E50="",F50=""),"",DATEDIF(E50,F50,"m")+1)</f>
        <v/>
      </c>
      <c r="M50" s="108">
        <f>IF(OR(K50="",L50=""),"",K50/L50)</f>
        <v/>
      </c>
      <c r="N50" s="88" t="n"/>
      <c r="O50" s="88" t="n"/>
      <c r="P50" s="88" t="n"/>
      <c r="Q50" s="88" t="n"/>
    </row>
    <row r="51">
      <c r="A51" s="85" t="n">
        <v>0</v>
      </c>
      <c r="B51" s="88" t="n"/>
      <c r="C51" s="88" t="n"/>
      <c r="D51" s="88" t="n"/>
      <c r="E51" s="88" t="n"/>
      <c r="F51" s="88" t="n"/>
      <c r="G51" s="88" t="n"/>
      <c r="H51" s="93">
        <f>Assumptions!$B$6</f>
        <v/>
      </c>
      <c r="I51" s="93">
        <f>Assumptions!$B$7</f>
        <v/>
      </c>
      <c r="J51" s="93">
        <f>Assumptions!$B$8</f>
        <v/>
      </c>
      <c r="K51" s="108">
        <f>IF(A51&lt;&gt;1,"",G51*H51*I51/J51)</f>
        <v/>
      </c>
      <c r="L51" s="63">
        <f>IF(OR(E51="",F51=""),"",DATEDIF(E51,F51,"m")+1)</f>
        <v/>
      </c>
      <c r="M51" s="108">
        <f>IF(OR(K51="",L51=""),"",K51/L51)</f>
        <v/>
      </c>
      <c r="N51" s="88" t="n"/>
      <c r="O51" s="88" t="n"/>
      <c r="P51" s="88" t="n"/>
      <c r="Q51" s="88" t="n"/>
    </row>
    <row r="52">
      <c r="A52" s="85" t="n">
        <v>0</v>
      </c>
      <c r="B52" s="88" t="n"/>
      <c r="C52" s="88" t="n"/>
      <c r="D52" s="88" t="n"/>
      <c r="E52" s="88" t="n"/>
      <c r="F52" s="88" t="n"/>
      <c r="G52" s="88" t="n"/>
      <c r="H52" s="93">
        <f>Assumptions!$B$6</f>
        <v/>
      </c>
      <c r="I52" s="93">
        <f>Assumptions!$B$7</f>
        <v/>
      </c>
      <c r="J52" s="93">
        <f>Assumptions!$B$8</f>
        <v/>
      </c>
      <c r="K52" s="108">
        <f>IF(A52&lt;&gt;1,"",G52*H52*I52/J52)</f>
        <v/>
      </c>
      <c r="L52" s="63">
        <f>IF(OR(E52="",F52=""),"",DATEDIF(E52,F52,"m")+1)</f>
        <v/>
      </c>
      <c r="M52" s="108">
        <f>IF(OR(K52="",L52=""),"",K52/L52)</f>
        <v/>
      </c>
      <c r="N52" s="88" t="n"/>
      <c r="O52" s="88" t="n"/>
      <c r="P52" s="88" t="n"/>
      <c r="Q52" s="88" t="n"/>
    </row>
    <row r="53">
      <c r="A53" s="85" t="n">
        <v>0</v>
      </c>
      <c r="B53" s="88" t="n"/>
      <c r="C53" s="88" t="n"/>
      <c r="D53" s="88" t="n"/>
      <c r="E53" s="88" t="n"/>
      <c r="F53" s="88" t="n"/>
      <c r="G53" s="88" t="n"/>
      <c r="H53" s="93">
        <f>Assumptions!$B$6</f>
        <v/>
      </c>
      <c r="I53" s="93">
        <f>Assumptions!$B$7</f>
        <v/>
      </c>
      <c r="J53" s="93">
        <f>Assumptions!$B$8</f>
        <v/>
      </c>
      <c r="K53" s="108">
        <f>IF(A53&lt;&gt;1,"",G53*H53*I53/J53)</f>
        <v/>
      </c>
      <c r="L53" s="63">
        <f>IF(OR(E53="",F53=""),"",DATEDIF(E53,F53,"m")+1)</f>
        <v/>
      </c>
      <c r="M53" s="108">
        <f>IF(OR(K53="",L53=""),"",K53/L53)</f>
        <v/>
      </c>
      <c r="N53" s="88" t="n"/>
      <c r="O53" s="88" t="n"/>
      <c r="P53" s="88" t="n"/>
      <c r="Q53" s="88" t="n"/>
    </row>
    <row r="54">
      <c r="A54" s="85" t="n">
        <v>0</v>
      </c>
      <c r="B54" s="88" t="n"/>
      <c r="C54" s="88" t="n"/>
      <c r="D54" s="88" t="n"/>
      <c r="E54" s="88" t="n"/>
      <c r="F54" s="88" t="n"/>
      <c r="G54" s="88" t="n"/>
      <c r="H54" s="93">
        <f>Assumptions!$B$6</f>
        <v/>
      </c>
      <c r="I54" s="93">
        <f>Assumptions!$B$7</f>
        <v/>
      </c>
      <c r="J54" s="93">
        <f>Assumptions!$B$8</f>
        <v/>
      </c>
      <c r="K54" s="108">
        <f>IF(A54&lt;&gt;1,"",G54*H54*I54/J54)</f>
        <v/>
      </c>
      <c r="L54" s="63">
        <f>IF(OR(E54="",F54=""),"",DATEDIF(E54,F54,"m")+1)</f>
        <v/>
      </c>
      <c r="M54" s="108">
        <f>IF(OR(K54="",L54=""),"",K54/L54)</f>
        <v/>
      </c>
      <c r="N54" s="88" t="n"/>
      <c r="O54" s="88" t="n"/>
      <c r="P54" s="88" t="n"/>
      <c r="Q54" s="88" t="n"/>
    </row>
    <row r="55">
      <c r="A55" s="85" t="n">
        <v>0</v>
      </c>
      <c r="B55" s="88" t="n"/>
      <c r="C55" s="88" t="n"/>
      <c r="D55" s="88" t="n"/>
      <c r="E55" s="88" t="n"/>
      <c r="F55" s="88" t="n"/>
      <c r="G55" s="88" t="n"/>
      <c r="H55" s="93">
        <f>Assumptions!$B$6</f>
        <v/>
      </c>
      <c r="I55" s="93">
        <f>Assumptions!$B$7</f>
        <v/>
      </c>
      <c r="J55" s="93">
        <f>Assumptions!$B$8</f>
        <v/>
      </c>
      <c r="K55" s="108">
        <f>IF(A55&lt;&gt;1,"",G55*H55*I55/J55)</f>
        <v/>
      </c>
      <c r="L55" s="63">
        <f>IF(OR(E55="",F55=""),"",DATEDIF(E55,F55,"m")+1)</f>
        <v/>
      </c>
      <c r="M55" s="108">
        <f>IF(OR(K55="",L55=""),"",K55/L55)</f>
        <v/>
      </c>
      <c r="N55" s="88" t="n"/>
      <c r="O55" s="88" t="n"/>
      <c r="P55" s="88" t="n"/>
      <c r="Q55" s="88" t="n"/>
    </row>
  </sheetData>
  <autoFilter ref="A4:Q55"/>
  <mergeCells count="2">
    <mergeCell ref="A2:Q2"/>
    <mergeCell ref="A1:Q1"/>
  </mergeCells>
  <hyperlinks>
    <hyperlink xmlns:r="http://schemas.openxmlformats.org/officeDocument/2006/relationships" ref="P5" r:id="rId1"/>
  </hyperlink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5" customWidth="1" min="4" max="4"/>
    <col width="19" customWidth="1" min="5" max="5"/>
    <col width="17" customWidth="1" min="6" max="6"/>
    <col width="16" customWidth="1" min="7" max="7"/>
    <col width="13" customWidth="1" min="8" max="8"/>
    <col width="16" customWidth="1" min="9" max="9"/>
    <col width="28" customWidth="1" min="10" max="10"/>
    <col width="15" customWidth="1" min="11" max="11"/>
    <col width="14" customWidth="1" min="12" max="12"/>
  </cols>
  <sheetData>
    <row r="1" ht="26" customHeight="1">
      <c r="A1" s="56" t="inlineStr">
        <is>
          <t>Hardware-to-Power Coverage Calendar</t>
        </is>
      </c>
    </row>
    <row r="2" ht="30" customHeight="1">
      <c r="A2" s="57" t="inlineStr">
        <is>
          <t>Forward 6-month coverage compares scheduled hardware-equivalent IT MW with usable IT MW becoming available. A rising ratio is a potential sell-clock warning; it is not a demand signal.</t>
        </is>
      </c>
    </row>
    <row r="4" ht="34" customHeight="1">
      <c r="A4" s="79" t="inlineStr">
        <is>
          <t>Month</t>
        </is>
      </c>
      <c r="B4" s="79" t="inlineStr">
        <is>
          <t>Hardware MW delivered</t>
        </is>
      </c>
      <c r="C4" s="79" t="inlineStr">
        <is>
          <t>Usable IT MW online</t>
        </is>
      </c>
      <c r="D4" s="79" t="inlineStr">
        <is>
          <t>Monthly gap MW</t>
        </is>
      </c>
      <c r="E4" s="79" t="inlineStr">
        <is>
          <t>Fwd 6M hardware MW</t>
        </is>
      </c>
      <c r="F4" s="79" t="inlineStr">
        <is>
          <t>Fwd 6M power MW</t>
        </is>
      </c>
      <c r="G4" s="79" t="inlineStr">
        <is>
          <t>Fwd 6M coverage</t>
        </is>
      </c>
      <c r="H4" s="79" t="inlineStr">
        <is>
          <t>Risk band</t>
        </is>
      </c>
      <c r="I4" s="79" t="inlineStr">
        <is>
          <t>Trailing 3M Δ ratio</t>
        </is>
      </c>
      <c r="J4" s="79" t="inlineStr">
        <is>
          <t>Comment</t>
        </is>
      </c>
      <c r="K4" s="79" t="inlineStr">
        <is>
          <t>Hardware rows used</t>
        </is>
      </c>
      <c r="L4" s="79" t="inlineStr">
        <is>
          <t>Power rows used</t>
        </is>
      </c>
    </row>
    <row r="5">
      <c r="A5" s="94" t="n">
        <v>46023</v>
      </c>
      <c r="B5" s="108">
        <f>SUMIFS('Hardware Deliveries'!$M$5:$M$56,'Hardware Deliveries'!$A$5:$A$56,1,'Hardware Deliveries'!$F$5:$F$56,"&lt;="&amp;A5,'Hardware Deliveries'!$G$5:$G$56,"&gt;="&amp;A5)</f>
        <v/>
      </c>
      <c r="C5" s="108">
        <f>SUMIFS('Power Deliveries'!$M$5:$M$55,'Power Deliveries'!$A$5:$A$55,1,'Power Deliveries'!$E$5:$E$55,"&lt;="&amp;A5,'Power Deliveries'!$F$5:$F$55,"&gt;="&amp;A5)</f>
        <v/>
      </c>
      <c r="D5" s="108">
        <f>B5-C5</f>
        <v/>
      </c>
      <c r="E5" s="108">
        <f>SUM(B5:B10)</f>
        <v/>
      </c>
      <c r="F5" s="108">
        <f>SUM(C5:C10)</f>
        <v/>
      </c>
      <c r="G5" s="103">
        <f>IF(OR(K5=0,L5=0),"",E5/F5)</f>
        <v/>
      </c>
      <c r="H5" s="95">
        <f>IF(G5="","NO DATA",IF(G5&lt;=Assumptions!$B$16,"GREEN",IF(G5&lt;=Assumptions!$C$16,"WATCH",IF(G5&lt;=Assumptions!$D$16,"YELLOW",IF(G5&lt;=Assumptions!$E$16,"ORANGE","RED")))))</f>
        <v/>
      </c>
      <c r="I5" s="62" t="inlineStr"/>
      <c r="J5" s="88" t="n"/>
      <c r="K5" s="63">
        <f>COUNTIFS('Hardware Deliveries'!$A$5:$A$56,1,'Hardware Deliveries'!$F$5:$F$56,"&lt;="&amp;A5,'Hardware Deliveries'!$G$5:$G$56,"&gt;="&amp;A5)</f>
        <v/>
      </c>
      <c r="L5" s="63">
        <f>COUNTIFS('Power Deliveries'!$A$5:$A$55,1,'Power Deliveries'!$E$5:$E$55,"&lt;="&amp;A5,'Power Deliveries'!$F$5:$F$55,"&gt;="&amp;A5)</f>
        <v/>
      </c>
    </row>
    <row r="6">
      <c r="A6" s="94" t="n">
        <v>46054</v>
      </c>
      <c r="B6" s="108">
        <f>SUMIFS('Hardware Deliveries'!$M$5:$M$56,'Hardware Deliveries'!$A$5:$A$56,1,'Hardware Deliveries'!$F$5:$F$56,"&lt;="&amp;A6,'Hardware Deliveries'!$G$5:$G$56,"&gt;="&amp;A6)</f>
        <v/>
      </c>
      <c r="C6" s="108">
        <f>SUMIFS('Power Deliveries'!$M$5:$M$55,'Power Deliveries'!$A$5:$A$55,1,'Power Deliveries'!$E$5:$E$55,"&lt;="&amp;A6,'Power Deliveries'!$F$5:$F$55,"&gt;="&amp;A6)</f>
        <v/>
      </c>
      <c r="D6" s="108">
        <f>B6-C6</f>
        <v/>
      </c>
      <c r="E6" s="108">
        <f>SUM(B6:B11)</f>
        <v/>
      </c>
      <c r="F6" s="108">
        <f>SUM(C6:C11)</f>
        <v/>
      </c>
      <c r="G6" s="103">
        <f>IF(OR(K6=0,L6=0),"",E6/F6)</f>
        <v/>
      </c>
      <c r="H6" s="95">
        <f>IF(G6="","NO DATA",IF(G6&lt;=Assumptions!$B$16,"GREEN",IF(G6&lt;=Assumptions!$C$16,"WATCH",IF(G6&lt;=Assumptions!$D$16,"YELLOW",IF(G6&lt;=Assumptions!$E$16,"ORANGE","RED")))))</f>
        <v/>
      </c>
      <c r="I6" s="62" t="inlineStr"/>
      <c r="J6" s="88" t="n"/>
      <c r="K6" s="63">
        <f>COUNTIFS('Hardware Deliveries'!$A$5:$A$56,1,'Hardware Deliveries'!$F$5:$F$56,"&lt;="&amp;A6,'Hardware Deliveries'!$G$5:$G$56,"&gt;="&amp;A6)</f>
        <v/>
      </c>
      <c r="L6" s="63">
        <f>COUNTIFS('Power Deliveries'!$A$5:$A$55,1,'Power Deliveries'!$E$5:$E$55,"&lt;="&amp;A6,'Power Deliveries'!$F$5:$F$55,"&gt;="&amp;A6)</f>
        <v/>
      </c>
    </row>
    <row r="7">
      <c r="A7" s="94" t="n">
        <v>46082</v>
      </c>
      <c r="B7" s="108">
        <f>SUMIFS('Hardware Deliveries'!$M$5:$M$56,'Hardware Deliveries'!$A$5:$A$56,1,'Hardware Deliveries'!$F$5:$F$56,"&lt;="&amp;A7,'Hardware Deliveries'!$G$5:$G$56,"&gt;="&amp;A7)</f>
        <v/>
      </c>
      <c r="C7" s="108">
        <f>SUMIFS('Power Deliveries'!$M$5:$M$55,'Power Deliveries'!$A$5:$A$55,1,'Power Deliveries'!$E$5:$E$55,"&lt;="&amp;A7,'Power Deliveries'!$F$5:$F$55,"&gt;="&amp;A7)</f>
        <v/>
      </c>
      <c r="D7" s="108">
        <f>B7-C7</f>
        <v/>
      </c>
      <c r="E7" s="108">
        <f>SUM(B7:B12)</f>
        <v/>
      </c>
      <c r="F7" s="108">
        <f>SUM(C7:C12)</f>
        <v/>
      </c>
      <c r="G7" s="103">
        <f>IF(OR(K7=0,L7=0),"",E7/F7)</f>
        <v/>
      </c>
      <c r="H7" s="95">
        <f>IF(G7="","NO DATA",IF(G7&lt;=Assumptions!$B$16,"GREEN",IF(G7&lt;=Assumptions!$C$16,"WATCH",IF(G7&lt;=Assumptions!$D$16,"YELLOW",IF(G7&lt;=Assumptions!$E$16,"ORANGE","RED")))))</f>
        <v/>
      </c>
      <c r="I7" s="62" t="inlineStr"/>
      <c r="J7" s="88" t="n"/>
      <c r="K7" s="63">
        <f>COUNTIFS('Hardware Deliveries'!$A$5:$A$56,1,'Hardware Deliveries'!$F$5:$F$56,"&lt;="&amp;A7,'Hardware Deliveries'!$G$5:$G$56,"&gt;="&amp;A7)</f>
        <v/>
      </c>
      <c r="L7" s="63">
        <f>COUNTIFS('Power Deliveries'!$A$5:$A$55,1,'Power Deliveries'!$E$5:$E$55,"&lt;="&amp;A7,'Power Deliveries'!$F$5:$F$55,"&gt;="&amp;A7)</f>
        <v/>
      </c>
    </row>
    <row r="8">
      <c r="A8" s="94" t="n">
        <v>46113</v>
      </c>
      <c r="B8" s="108">
        <f>SUMIFS('Hardware Deliveries'!$M$5:$M$56,'Hardware Deliveries'!$A$5:$A$56,1,'Hardware Deliveries'!$F$5:$F$56,"&lt;="&amp;A8,'Hardware Deliveries'!$G$5:$G$56,"&gt;="&amp;A8)</f>
        <v/>
      </c>
      <c r="C8" s="108">
        <f>SUMIFS('Power Deliveries'!$M$5:$M$55,'Power Deliveries'!$A$5:$A$55,1,'Power Deliveries'!$E$5:$E$55,"&lt;="&amp;A8,'Power Deliveries'!$F$5:$F$55,"&gt;="&amp;A8)</f>
        <v/>
      </c>
      <c r="D8" s="108">
        <f>B8-C8</f>
        <v/>
      </c>
      <c r="E8" s="108">
        <f>SUM(B8:B13)</f>
        <v/>
      </c>
      <c r="F8" s="108">
        <f>SUM(C8:C13)</f>
        <v/>
      </c>
      <c r="G8" s="103">
        <f>IF(OR(K8=0,L8=0),"",E8/F8)</f>
        <v/>
      </c>
      <c r="H8" s="95">
        <f>IF(G8="","NO DATA",IF(G8&lt;=Assumptions!$B$16,"GREEN",IF(G8&lt;=Assumptions!$C$16,"WATCH",IF(G8&lt;=Assumptions!$D$16,"YELLOW",IF(G8&lt;=Assumptions!$E$16,"ORANGE","RED")))))</f>
        <v/>
      </c>
      <c r="I8" s="103">
        <f>IF(OR(G8="",G5=""),"",G8-G5)</f>
        <v/>
      </c>
      <c r="J8" s="88" t="n"/>
      <c r="K8" s="63">
        <f>COUNTIFS('Hardware Deliveries'!$A$5:$A$56,1,'Hardware Deliveries'!$F$5:$F$56,"&lt;="&amp;A8,'Hardware Deliveries'!$G$5:$G$56,"&gt;="&amp;A8)</f>
        <v/>
      </c>
      <c r="L8" s="63">
        <f>COUNTIFS('Power Deliveries'!$A$5:$A$55,1,'Power Deliveries'!$E$5:$E$55,"&lt;="&amp;A8,'Power Deliveries'!$F$5:$F$55,"&gt;="&amp;A8)</f>
        <v/>
      </c>
    </row>
    <row r="9">
      <c r="A9" s="94" t="n">
        <v>46143</v>
      </c>
      <c r="B9" s="108">
        <f>SUMIFS('Hardware Deliveries'!$M$5:$M$56,'Hardware Deliveries'!$A$5:$A$56,1,'Hardware Deliveries'!$F$5:$F$56,"&lt;="&amp;A9,'Hardware Deliveries'!$G$5:$G$56,"&gt;="&amp;A9)</f>
        <v/>
      </c>
      <c r="C9" s="108">
        <f>SUMIFS('Power Deliveries'!$M$5:$M$55,'Power Deliveries'!$A$5:$A$55,1,'Power Deliveries'!$E$5:$E$55,"&lt;="&amp;A9,'Power Deliveries'!$F$5:$F$55,"&gt;="&amp;A9)</f>
        <v/>
      </c>
      <c r="D9" s="108">
        <f>B9-C9</f>
        <v/>
      </c>
      <c r="E9" s="108">
        <f>SUM(B9:B14)</f>
        <v/>
      </c>
      <c r="F9" s="108">
        <f>SUM(C9:C14)</f>
        <v/>
      </c>
      <c r="G9" s="103">
        <f>IF(OR(K9=0,L9=0),"",E9/F9)</f>
        <v/>
      </c>
      <c r="H9" s="95">
        <f>IF(G9="","NO DATA",IF(G9&lt;=Assumptions!$B$16,"GREEN",IF(G9&lt;=Assumptions!$C$16,"WATCH",IF(G9&lt;=Assumptions!$D$16,"YELLOW",IF(G9&lt;=Assumptions!$E$16,"ORANGE","RED")))))</f>
        <v/>
      </c>
      <c r="I9" s="103">
        <f>IF(OR(G9="",G6=""),"",G9-G6)</f>
        <v/>
      </c>
      <c r="J9" s="88" t="n"/>
      <c r="K9" s="63">
        <f>COUNTIFS('Hardware Deliveries'!$A$5:$A$56,1,'Hardware Deliveries'!$F$5:$F$56,"&lt;="&amp;A9,'Hardware Deliveries'!$G$5:$G$56,"&gt;="&amp;A9)</f>
        <v/>
      </c>
      <c r="L9" s="63">
        <f>COUNTIFS('Power Deliveries'!$A$5:$A$55,1,'Power Deliveries'!$E$5:$E$55,"&lt;="&amp;A9,'Power Deliveries'!$F$5:$F$55,"&gt;="&amp;A9)</f>
        <v/>
      </c>
    </row>
    <row r="10">
      <c r="A10" s="94" t="n">
        <v>46174</v>
      </c>
      <c r="B10" s="108">
        <f>SUMIFS('Hardware Deliveries'!$M$5:$M$56,'Hardware Deliveries'!$A$5:$A$56,1,'Hardware Deliveries'!$F$5:$F$56,"&lt;="&amp;A10,'Hardware Deliveries'!$G$5:$G$56,"&gt;="&amp;A10)</f>
        <v/>
      </c>
      <c r="C10" s="108">
        <f>SUMIFS('Power Deliveries'!$M$5:$M$55,'Power Deliveries'!$A$5:$A$55,1,'Power Deliveries'!$E$5:$E$55,"&lt;="&amp;A10,'Power Deliveries'!$F$5:$F$55,"&gt;="&amp;A10)</f>
        <v/>
      </c>
      <c r="D10" s="108">
        <f>B10-C10</f>
        <v/>
      </c>
      <c r="E10" s="108">
        <f>SUM(B10:B15)</f>
        <v/>
      </c>
      <c r="F10" s="108">
        <f>SUM(C10:C15)</f>
        <v/>
      </c>
      <c r="G10" s="103">
        <f>IF(OR(K10=0,L10=0),"",E10/F10)</f>
        <v/>
      </c>
      <c r="H10" s="95">
        <f>IF(G10="","NO DATA",IF(G10&lt;=Assumptions!$B$16,"GREEN",IF(G10&lt;=Assumptions!$C$16,"WATCH",IF(G10&lt;=Assumptions!$D$16,"YELLOW",IF(G10&lt;=Assumptions!$E$16,"ORANGE","RED")))))</f>
        <v/>
      </c>
      <c r="I10" s="103">
        <f>IF(OR(G10="",G7=""),"",G10-G7)</f>
        <v/>
      </c>
      <c r="J10" s="88" t="n"/>
      <c r="K10" s="63">
        <f>COUNTIFS('Hardware Deliveries'!$A$5:$A$56,1,'Hardware Deliveries'!$F$5:$F$56,"&lt;="&amp;A10,'Hardware Deliveries'!$G$5:$G$56,"&gt;="&amp;A10)</f>
        <v/>
      </c>
      <c r="L10" s="63">
        <f>COUNTIFS('Power Deliveries'!$A$5:$A$55,1,'Power Deliveries'!$E$5:$E$55,"&lt;="&amp;A10,'Power Deliveries'!$F$5:$F$55,"&gt;="&amp;A10)</f>
        <v/>
      </c>
    </row>
    <row r="11">
      <c r="A11" s="94" t="n">
        <v>46204</v>
      </c>
      <c r="B11" s="108">
        <f>SUMIFS('Hardware Deliveries'!$M$5:$M$56,'Hardware Deliveries'!$A$5:$A$56,1,'Hardware Deliveries'!$F$5:$F$56,"&lt;="&amp;A11,'Hardware Deliveries'!$G$5:$G$56,"&gt;="&amp;A11)</f>
        <v/>
      </c>
      <c r="C11" s="108">
        <f>SUMIFS('Power Deliveries'!$M$5:$M$55,'Power Deliveries'!$A$5:$A$55,1,'Power Deliveries'!$E$5:$E$55,"&lt;="&amp;A11,'Power Deliveries'!$F$5:$F$55,"&gt;="&amp;A11)</f>
        <v/>
      </c>
      <c r="D11" s="108">
        <f>B11-C11</f>
        <v/>
      </c>
      <c r="E11" s="108">
        <f>SUM(B11:B16)</f>
        <v/>
      </c>
      <c r="F11" s="108">
        <f>SUM(C11:C16)</f>
        <v/>
      </c>
      <c r="G11" s="103">
        <f>IF(OR(K11=0,L11=0),"",E11/F11)</f>
        <v/>
      </c>
      <c r="H11" s="95">
        <f>IF(G11="","NO DATA",IF(G11&lt;=Assumptions!$B$16,"GREEN",IF(G11&lt;=Assumptions!$C$16,"WATCH",IF(G11&lt;=Assumptions!$D$16,"YELLOW",IF(G11&lt;=Assumptions!$E$16,"ORANGE","RED")))))</f>
        <v/>
      </c>
      <c r="I11" s="103">
        <f>IF(OR(G11="",G8=""),"",G11-G8)</f>
        <v/>
      </c>
      <c r="J11" s="88" t="n"/>
      <c r="K11" s="63">
        <f>COUNTIFS('Hardware Deliveries'!$A$5:$A$56,1,'Hardware Deliveries'!$F$5:$F$56,"&lt;="&amp;A11,'Hardware Deliveries'!$G$5:$G$56,"&gt;="&amp;A11)</f>
        <v/>
      </c>
      <c r="L11" s="63">
        <f>COUNTIFS('Power Deliveries'!$A$5:$A$55,1,'Power Deliveries'!$E$5:$E$55,"&lt;="&amp;A11,'Power Deliveries'!$F$5:$F$55,"&gt;="&amp;A11)</f>
        <v/>
      </c>
    </row>
    <row r="12">
      <c r="A12" s="94" t="n">
        <v>46235</v>
      </c>
      <c r="B12" s="108">
        <f>SUMIFS('Hardware Deliveries'!$M$5:$M$56,'Hardware Deliveries'!$A$5:$A$56,1,'Hardware Deliveries'!$F$5:$F$56,"&lt;="&amp;A12,'Hardware Deliveries'!$G$5:$G$56,"&gt;="&amp;A12)</f>
        <v/>
      </c>
      <c r="C12" s="108">
        <f>SUMIFS('Power Deliveries'!$M$5:$M$55,'Power Deliveries'!$A$5:$A$55,1,'Power Deliveries'!$E$5:$E$55,"&lt;="&amp;A12,'Power Deliveries'!$F$5:$F$55,"&gt;="&amp;A12)</f>
        <v/>
      </c>
      <c r="D12" s="108">
        <f>B12-C12</f>
        <v/>
      </c>
      <c r="E12" s="108">
        <f>SUM(B12:B17)</f>
        <v/>
      </c>
      <c r="F12" s="108">
        <f>SUM(C12:C17)</f>
        <v/>
      </c>
      <c r="G12" s="103">
        <f>IF(OR(K12=0,L12=0),"",E12/F12)</f>
        <v/>
      </c>
      <c r="H12" s="95">
        <f>IF(G12="","NO DATA",IF(G12&lt;=Assumptions!$B$16,"GREEN",IF(G12&lt;=Assumptions!$C$16,"WATCH",IF(G12&lt;=Assumptions!$D$16,"YELLOW",IF(G12&lt;=Assumptions!$E$16,"ORANGE","RED")))))</f>
        <v/>
      </c>
      <c r="I12" s="103">
        <f>IF(OR(G12="",G9=""),"",G12-G9)</f>
        <v/>
      </c>
      <c r="J12" s="88" t="n"/>
      <c r="K12" s="63">
        <f>COUNTIFS('Hardware Deliveries'!$A$5:$A$56,1,'Hardware Deliveries'!$F$5:$F$56,"&lt;="&amp;A12,'Hardware Deliveries'!$G$5:$G$56,"&gt;="&amp;A12)</f>
        <v/>
      </c>
      <c r="L12" s="63">
        <f>COUNTIFS('Power Deliveries'!$A$5:$A$55,1,'Power Deliveries'!$E$5:$E$55,"&lt;="&amp;A12,'Power Deliveries'!$F$5:$F$55,"&gt;="&amp;A12)</f>
        <v/>
      </c>
    </row>
    <row r="13">
      <c r="A13" s="94" t="n">
        <v>46266</v>
      </c>
      <c r="B13" s="108">
        <f>SUMIFS('Hardware Deliveries'!$M$5:$M$56,'Hardware Deliveries'!$A$5:$A$56,1,'Hardware Deliveries'!$F$5:$F$56,"&lt;="&amp;A13,'Hardware Deliveries'!$G$5:$G$56,"&gt;="&amp;A13)</f>
        <v/>
      </c>
      <c r="C13" s="108">
        <f>SUMIFS('Power Deliveries'!$M$5:$M$55,'Power Deliveries'!$A$5:$A$55,1,'Power Deliveries'!$E$5:$E$55,"&lt;="&amp;A13,'Power Deliveries'!$F$5:$F$55,"&gt;="&amp;A13)</f>
        <v/>
      </c>
      <c r="D13" s="108">
        <f>B13-C13</f>
        <v/>
      </c>
      <c r="E13" s="108">
        <f>SUM(B13:B18)</f>
        <v/>
      </c>
      <c r="F13" s="108">
        <f>SUM(C13:C18)</f>
        <v/>
      </c>
      <c r="G13" s="103">
        <f>IF(OR(K13=0,L13=0),"",E13/F13)</f>
        <v/>
      </c>
      <c r="H13" s="95">
        <f>IF(G13="","NO DATA",IF(G13&lt;=Assumptions!$B$16,"GREEN",IF(G13&lt;=Assumptions!$C$16,"WATCH",IF(G13&lt;=Assumptions!$D$16,"YELLOW",IF(G13&lt;=Assumptions!$E$16,"ORANGE","RED")))))</f>
        <v/>
      </c>
      <c r="I13" s="103">
        <f>IF(OR(G13="",G10=""),"",G13-G10)</f>
        <v/>
      </c>
      <c r="J13" s="88" t="n"/>
      <c r="K13" s="63">
        <f>COUNTIFS('Hardware Deliveries'!$A$5:$A$56,1,'Hardware Deliveries'!$F$5:$F$56,"&lt;="&amp;A13,'Hardware Deliveries'!$G$5:$G$56,"&gt;="&amp;A13)</f>
        <v/>
      </c>
      <c r="L13" s="63">
        <f>COUNTIFS('Power Deliveries'!$A$5:$A$55,1,'Power Deliveries'!$E$5:$E$55,"&lt;="&amp;A13,'Power Deliveries'!$F$5:$F$55,"&gt;="&amp;A13)</f>
        <v/>
      </c>
    </row>
    <row r="14">
      <c r="A14" s="94" t="n">
        <v>46296</v>
      </c>
      <c r="B14" s="108">
        <f>SUMIFS('Hardware Deliveries'!$M$5:$M$56,'Hardware Deliveries'!$A$5:$A$56,1,'Hardware Deliveries'!$F$5:$F$56,"&lt;="&amp;A14,'Hardware Deliveries'!$G$5:$G$56,"&gt;="&amp;A14)</f>
        <v/>
      </c>
      <c r="C14" s="108">
        <f>SUMIFS('Power Deliveries'!$M$5:$M$55,'Power Deliveries'!$A$5:$A$55,1,'Power Deliveries'!$E$5:$E$55,"&lt;="&amp;A14,'Power Deliveries'!$F$5:$F$55,"&gt;="&amp;A14)</f>
        <v/>
      </c>
      <c r="D14" s="108">
        <f>B14-C14</f>
        <v/>
      </c>
      <c r="E14" s="108">
        <f>SUM(B14:B19)</f>
        <v/>
      </c>
      <c r="F14" s="108">
        <f>SUM(C14:C19)</f>
        <v/>
      </c>
      <c r="G14" s="103">
        <f>IF(OR(K14=0,L14=0),"",E14/F14)</f>
        <v/>
      </c>
      <c r="H14" s="95">
        <f>IF(G14="","NO DATA",IF(G14&lt;=Assumptions!$B$16,"GREEN",IF(G14&lt;=Assumptions!$C$16,"WATCH",IF(G14&lt;=Assumptions!$D$16,"YELLOW",IF(G14&lt;=Assumptions!$E$16,"ORANGE","RED")))))</f>
        <v/>
      </c>
      <c r="I14" s="103">
        <f>IF(OR(G14="",G11=""),"",G14-G11)</f>
        <v/>
      </c>
      <c r="J14" s="88" t="n"/>
      <c r="K14" s="63">
        <f>COUNTIFS('Hardware Deliveries'!$A$5:$A$56,1,'Hardware Deliveries'!$F$5:$F$56,"&lt;="&amp;A14,'Hardware Deliveries'!$G$5:$G$56,"&gt;="&amp;A14)</f>
        <v/>
      </c>
      <c r="L14" s="63">
        <f>COUNTIFS('Power Deliveries'!$A$5:$A$55,1,'Power Deliveries'!$E$5:$E$55,"&lt;="&amp;A14,'Power Deliveries'!$F$5:$F$55,"&gt;="&amp;A14)</f>
        <v/>
      </c>
    </row>
    <row r="15">
      <c r="A15" s="94" t="n">
        <v>46327</v>
      </c>
      <c r="B15" s="108">
        <f>SUMIFS('Hardware Deliveries'!$M$5:$M$56,'Hardware Deliveries'!$A$5:$A$56,1,'Hardware Deliveries'!$F$5:$F$56,"&lt;="&amp;A15,'Hardware Deliveries'!$G$5:$G$56,"&gt;="&amp;A15)</f>
        <v/>
      </c>
      <c r="C15" s="108">
        <f>SUMIFS('Power Deliveries'!$M$5:$M$55,'Power Deliveries'!$A$5:$A$55,1,'Power Deliveries'!$E$5:$E$55,"&lt;="&amp;A15,'Power Deliveries'!$F$5:$F$55,"&gt;="&amp;A15)</f>
        <v/>
      </c>
      <c r="D15" s="108">
        <f>B15-C15</f>
        <v/>
      </c>
      <c r="E15" s="108">
        <f>SUM(B15:B20)</f>
        <v/>
      </c>
      <c r="F15" s="108">
        <f>SUM(C15:C20)</f>
        <v/>
      </c>
      <c r="G15" s="103">
        <f>IF(OR(K15=0,L15=0),"",E15/F15)</f>
        <v/>
      </c>
      <c r="H15" s="95">
        <f>IF(G15="","NO DATA",IF(G15&lt;=Assumptions!$B$16,"GREEN",IF(G15&lt;=Assumptions!$C$16,"WATCH",IF(G15&lt;=Assumptions!$D$16,"YELLOW",IF(G15&lt;=Assumptions!$E$16,"ORANGE","RED")))))</f>
        <v/>
      </c>
      <c r="I15" s="103">
        <f>IF(OR(G15="",G12=""),"",G15-G12)</f>
        <v/>
      </c>
      <c r="J15" s="88" t="n"/>
      <c r="K15" s="63">
        <f>COUNTIFS('Hardware Deliveries'!$A$5:$A$56,1,'Hardware Deliveries'!$F$5:$F$56,"&lt;="&amp;A15,'Hardware Deliveries'!$G$5:$G$56,"&gt;="&amp;A15)</f>
        <v/>
      </c>
      <c r="L15" s="63">
        <f>COUNTIFS('Power Deliveries'!$A$5:$A$55,1,'Power Deliveries'!$E$5:$E$55,"&lt;="&amp;A15,'Power Deliveries'!$F$5:$F$55,"&gt;="&amp;A15)</f>
        <v/>
      </c>
    </row>
    <row r="16">
      <c r="A16" s="94" t="n">
        <v>46357</v>
      </c>
      <c r="B16" s="108">
        <f>SUMIFS('Hardware Deliveries'!$M$5:$M$56,'Hardware Deliveries'!$A$5:$A$56,1,'Hardware Deliveries'!$F$5:$F$56,"&lt;="&amp;A16,'Hardware Deliveries'!$G$5:$G$56,"&gt;="&amp;A16)</f>
        <v/>
      </c>
      <c r="C16" s="108">
        <f>SUMIFS('Power Deliveries'!$M$5:$M$55,'Power Deliveries'!$A$5:$A$55,1,'Power Deliveries'!$E$5:$E$55,"&lt;="&amp;A16,'Power Deliveries'!$F$5:$F$55,"&gt;="&amp;A16)</f>
        <v/>
      </c>
      <c r="D16" s="108">
        <f>B16-C16</f>
        <v/>
      </c>
      <c r="E16" s="108">
        <f>SUM(B16:B21)</f>
        <v/>
      </c>
      <c r="F16" s="108">
        <f>SUM(C16:C21)</f>
        <v/>
      </c>
      <c r="G16" s="103">
        <f>IF(OR(K16=0,L16=0),"",E16/F16)</f>
        <v/>
      </c>
      <c r="H16" s="95">
        <f>IF(G16="","NO DATA",IF(G16&lt;=Assumptions!$B$16,"GREEN",IF(G16&lt;=Assumptions!$C$16,"WATCH",IF(G16&lt;=Assumptions!$D$16,"YELLOW",IF(G16&lt;=Assumptions!$E$16,"ORANGE","RED")))))</f>
        <v/>
      </c>
      <c r="I16" s="103">
        <f>IF(OR(G16="",G13=""),"",G16-G13)</f>
        <v/>
      </c>
      <c r="J16" s="88" t="n"/>
      <c r="K16" s="63">
        <f>COUNTIFS('Hardware Deliveries'!$A$5:$A$56,1,'Hardware Deliveries'!$F$5:$F$56,"&lt;="&amp;A16,'Hardware Deliveries'!$G$5:$G$56,"&gt;="&amp;A16)</f>
        <v/>
      </c>
      <c r="L16" s="63">
        <f>COUNTIFS('Power Deliveries'!$A$5:$A$55,1,'Power Deliveries'!$E$5:$E$55,"&lt;="&amp;A16,'Power Deliveries'!$F$5:$F$55,"&gt;="&amp;A16)</f>
        <v/>
      </c>
    </row>
    <row r="17">
      <c r="A17" s="94" t="n">
        <v>46388</v>
      </c>
      <c r="B17" s="108">
        <f>SUMIFS('Hardware Deliveries'!$M$5:$M$56,'Hardware Deliveries'!$A$5:$A$56,1,'Hardware Deliveries'!$F$5:$F$56,"&lt;="&amp;A17,'Hardware Deliveries'!$G$5:$G$56,"&gt;="&amp;A17)</f>
        <v/>
      </c>
      <c r="C17" s="108">
        <f>SUMIFS('Power Deliveries'!$M$5:$M$55,'Power Deliveries'!$A$5:$A$55,1,'Power Deliveries'!$E$5:$E$55,"&lt;="&amp;A17,'Power Deliveries'!$F$5:$F$55,"&gt;="&amp;A17)</f>
        <v/>
      </c>
      <c r="D17" s="108">
        <f>B17-C17</f>
        <v/>
      </c>
      <c r="E17" s="108">
        <f>SUM(B17:B22)</f>
        <v/>
      </c>
      <c r="F17" s="108">
        <f>SUM(C17:C22)</f>
        <v/>
      </c>
      <c r="G17" s="103">
        <f>IF(OR(K17=0,L17=0),"",E17/F17)</f>
        <v/>
      </c>
      <c r="H17" s="95">
        <f>IF(G17="","NO DATA",IF(G17&lt;=Assumptions!$B$16,"GREEN",IF(G17&lt;=Assumptions!$C$16,"WATCH",IF(G17&lt;=Assumptions!$D$16,"YELLOW",IF(G17&lt;=Assumptions!$E$16,"ORANGE","RED")))))</f>
        <v/>
      </c>
      <c r="I17" s="103">
        <f>IF(OR(G17="",G14=""),"",G17-G14)</f>
        <v/>
      </c>
      <c r="J17" s="88" t="n"/>
      <c r="K17" s="63">
        <f>COUNTIFS('Hardware Deliveries'!$A$5:$A$56,1,'Hardware Deliveries'!$F$5:$F$56,"&lt;="&amp;A17,'Hardware Deliveries'!$G$5:$G$56,"&gt;="&amp;A17)</f>
        <v/>
      </c>
      <c r="L17" s="63">
        <f>COUNTIFS('Power Deliveries'!$A$5:$A$55,1,'Power Deliveries'!$E$5:$E$55,"&lt;="&amp;A17,'Power Deliveries'!$F$5:$F$55,"&gt;="&amp;A17)</f>
        <v/>
      </c>
    </row>
    <row r="18">
      <c r="A18" s="94" t="n">
        <v>46419</v>
      </c>
      <c r="B18" s="108">
        <f>SUMIFS('Hardware Deliveries'!$M$5:$M$56,'Hardware Deliveries'!$A$5:$A$56,1,'Hardware Deliveries'!$F$5:$F$56,"&lt;="&amp;A18,'Hardware Deliveries'!$G$5:$G$56,"&gt;="&amp;A18)</f>
        <v/>
      </c>
      <c r="C18" s="108">
        <f>SUMIFS('Power Deliveries'!$M$5:$M$55,'Power Deliveries'!$A$5:$A$55,1,'Power Deliveries'!$E$5:$E$55,"&lt;="&amp;A18,'Power Deliveries'!$F$5:$F$55,"&gt;="&amp;A18)</f>
        <v/>
      </c>
      <c r="D18" s="108">
        <f>B18-C18</f>
        <v/>
      </c>
      <c r="E18" s="108">
        <f>SUM(B18:B23)</f>
        <v/>
      </c>
      <c r="F18" s="108">
        <f>SUM(C18:C23)</f>
        <v/>
      </c>
      <c r="G18" s="103">
        <f>IF(OR(K18=0,L18=0),"",E18/F18)</f>
        <v/>
      </c>
      <c r="H18" s="95">
        <f>IF(G18="","NO DATA",IF(G18&lt;=Assumptions!$B$16,"GREEN",IF(G18&lt;=Assumptions!$C$16,"WATCH",IF(G18&lt;=Assumptions!$D$16,"YELLOW",IF(G18&lt;=Assumptions!$E$16,"ORANGE","RED")))))</f>
        <v/>
      </c>
      <c r="I18" s="103">
        <f>IF(OR(G18="",G15=""),"",G18-G15)</f>
        <v/>
      </c>
      <c r="J18" s="88" t="n"/>
      <c r="K18" s="63">
        <f>COUNTIFS('Hardware Deliveries'!$A$5:$A$56,1,'Hardware Deliveries'!$F$5:$F$56,"&lt;="&amp;A18,'Hardware Deliveries'!$G$5:$G$56,"&gt;="&amp;A18)</f>
        <v/>
      </c>
      <c r="L18" s="63">
        <f>COUNTIFS('Power Deliveries'!$A$5:$A$55,1,'Power Deliveries'!$E$5:$E$55,"&lt;="&amp;A18,'Power Deliveries'!$F$5:$F$55,"&gt;="&amp;A18)</f>
        <v/>
      </c>
    </row>
    <row r="19">
      <c r="A19" s="94" t="n">
        <v>46447</v>
      </c>
      <c r="B19" s="108">
        <f>SUMIFS('Hardware Deliveries'!$M$5:$M$56,'Hardware Deliveries'!$A$5:$A$56,1,'Hardware Deliveries'!$F$5:$F$56,"&lt;="&amp;A19,'Hardware Deliveries'!$G$5:$G$56,"&gt;="&amp;A19)</f>
        <v/>
      </c>
      <c r="C19" s="108">
        <f>SUMIFS('Power Deliveries'!$M$5:$M$55,'Power Deliveries'!$A$5:$A$55,1,'Power Deliveries'!$E$5:$E$55,"&lt;="&amp;A19,'Power Deliveries'!$F$5:$F$55,"&gt;="&amp;A19)</f>
        <v/>
      </c>
      <c r="D19" s="108">
        <f>B19-C19</f>
        <v/>
      </c>
      <c r="E19" s="108">
        <f>SUM(B19:B24)</f>
        <v/>
      </c>
      <c r="F19" s="108">
        <f>SUM(C19:C24)</f>
        <v/>
      </c>
      <c r="G19" s="103">
        <f>IF(OR(K19=0,L19=0),"",E19/F19)</f>
        <v/>
      </c>
      <c r="H19" s="95">
        <f>IF(G19="","NO DATA",IF(G19&lt;=Assumptions!$B$16,"GREEN",IF(G19&lt;=Assumptions!$C$16,"WATCH",IF(G19&lt;=Assumptions!$D$16,"YELLOW",IF(G19&lt;=Assumptions!$E$16,"ORANGE","RED")))))</f>
        <v/>
      </c>
      <c r="I19" s="103">
        <f>IF(OR(G19="",G16=""),"",G19-G16)</f>
        <v/>
      </c>
      <c r="J19" s="88" t="n"/>
      <c r="K19" s="63">
        <f>COUNTIFS('Hardware Deliveries'!$A$5:$A$56,1,'Hardware Deliveries'!$F$5:$F$56,"&lt;="&amp;A19,'Hardware Deliveries'!$G$5:$G$56,"&gt;="&amp;A19)</f>
        <v/>
      </c>
      <c r="L19" s="63">
        <f>COUNTIFS('Power Deliveries'!$A$5:$A$55,1,'Power Deliveries'!$E$5:$E$55,"&lt;="&amp;A19,'Power Deliveries'!$F$5:$F$55,"&gt;="&amp;A19)</f>
        <v/>
      </c>
    </row>
    <row r="20">
      <c r="A20" s="94" t="n">
        <v>46478</v>
      </c>
      <c r="B20" s="108">
        <f>SUMIFS('Hardware Deliveries'!$M$5:$M$56,'Hardware Deliveries'!$A$5:$A$56,1,'Hardware Deliveries'!$F$5:$F$56,"&lt;="&amp;A20,'Hardware Deliveries'!$G$5:$G$56,"&gt;="&amp;A20)</f>
        <v/>
      </c>
      <c r="C20" s="108">
        <f>SUMIFS('Power Deliveries'!$M$5:$M$55,'Power Deliveries'!$A$5:$A$55,1,'Power Deliveries'!$E$5:$E$55,"&lt;="&amp;A20,'Power Deliveries'!$F$5:$F$55,"&gt;="&amp;A20)</f>
        <v/>
      </c>
      <c r="D20" s="108">
        <f>B20-C20</f>
        <v/>
      </c>
      <c r="E20" s="108">
        <f>SUM(B20:B25)</f>
        <v/>
      </c>
      <c r="F20" s="108">
        <f>SUM(C20:C25)</f>
        <v/>
      </c>
      <c r="G20" s="103">
        <f>IF(OR(K20=0,L20=0),"",E20/F20)</f>
        <v/>
      </c>
      <c r="H20" s="95">
        <f>IF(G20="","NO DATA",IF(G20&lt;=Assumptions!$B$16,"GREEN",IF(G20&lt;=Assumptions!$C$16,"WATCH",IF(G20&lt;=Assumptions!$D$16,"YELLOW",IF(G20&lt;=Assumptions!$E$16,"ORANGE","RED")))))</f>
        <v/>
      </c>
      <c r="I20" s="103">
        <f>IF(OR(G20="",G17=""),"",G20-G17)</f>
        <v/>
      </c>
      <c r="J20" s="88" t="n"/>
      <c r="K20" s="63">
        <f>COUNTIFS('Hardware Deliveries'!$A$5:$A$56,1,'Hardware Deliveries'!$F$5:$F$56,"&lt;="&amp;A20,'Hardware Deliveries'!$G$5:$G$56,"&gt;="&amp;A20)</f>
        <v/>
      </c>
      <c r="L20" s="63">
        <f>COUNTIFS('Power Deliveries'!$A$5:$A$55,1,'Power Deliveries'!$E$5:$E$55,"&lt;="&amp;A20,'Power Deliveries'!$F$5:$F$55,"&gt;="&amp;A20)</f>
        <v/>
      </c>
    </row>
    <row r="21">
      <c r="A21" s="94" t="n">
        <v>46508</v>
      </c>
      <c r="B21" s="108">
        <f>SUMIFS('Hardware Deliveries'!$M$5:$M$56,'Hardware Deliveries'!$A$5:$A$56,1,'Hardware Deliveries'!$F$5:$F$56,"&lt;="&amp;A21,'Hardware Deliveries'!$G$5:$G$56,"&gt;="&amp;A21)</f>
        <v/>
      </c>
      <c r="C21" s="108">
        <f>SUMIFS('Power Deliveries'!$M$5:$M$55,'Power Deliveries'!$A$5:$A$55,1,'Power Deliveries'!$E$5:$E$55,"&lt;="&amp;A21,'Power Deliveries'!$F$5:$F$55,"&gt;="&amp;A21)</f>
        <v/>
      </c>
      <c r="D21" s="108">
        <f>B21-C21</f>
        <v/>
      </c>
      <c r="E21" s="108">
        <f>SUM(B21:B26)</f>
        <v/>
      </c>
      <c r="F21" s="108">
        <f>SUM(C21:C26)</f>
        <v/>
      </c>
      <c r="G21" s="103">
        <f>IF(OR(K21=0,L21=0),"",E21/F21)</f>
        <v/>
      </c>
      <c r="H21" s="95">
        <f>IF(G21="","NO DATA",IF(G21&lt;=Assumptions!$B$16,"GREEN",IF(G21&lt;=Assumptions!$C$16,"WATCH",IF(G21&lt;=Assumptions!$D$16,"YELLOW",IF(G21&lt;=Assumptions!$E$16,"ORANGE","RED")))))</f>
        <v/>
      </c>
      <c r="I21" s="103">
        <f>IF(OR(G21="",G18=""),"",G21-G18)</f>
        <v/>
      </c>
      <c r="J21" s="88" t="n"/>
      <c r="K21" s="63">
        <f>COUNTIFS('Hardware Deliveries'!$A$5:$A$56,1,'Hardware Deliveries'!$F$5:$F$56,"&lt;="&amp;A21,'Hardware Deliveries'!$G$5:$G$56,"&gt;="&amp;A21)</f>
        <v/>
      </c>
      <c r="L21" s="63">
        <f>COUNTIFS('Power Deliveries'!$A$5:$A$55,1,'Power Deliveries'!$E$5:$E$55,"&lt;="&amp;A21,'Power Deliveries'!$F$5:$F$55,"&gt;="&amp;A21)</f>
        <v/>
      </c>
    </row>
    <row r="22">
      <c r="A22" s="94" t="n">
        <v>46539</v>
      </c>
      <c r="B22" s="108">
        <f>SUMIFS('Hardware Deliveries'!$M$5:$M$56,'Hardware Deliveries'!$A$5:$A$56,1,'Hardware Deliveries'!$F$5:$F$56,"&lt;="&amp;A22,'Hardware Deliveries'!$G$5:$G$56,"&gt;="&amp;A22)</f>
        <v/>
      </c>
      <c r="C22" s="108">
        <f>SUMIFS('Power Deliveries'!$M$5:$M$55,'Power Deliveries'!$A$5:$A$55,1,'Power Deliveries'!$E$5:$E$55,"&lt;="&amp;A22,'Power Deliveries'!$F$5:$F$55,"&gt;="&amp;A22)</f>
        <v/>
      </c>
      <c r="D22" s="108">
        <f>B22-C22</f>
        <v/>
      </c>
      <c r="E22" s="108">
        <f>SUM(B22:B27)</f>
        <v/>
      </c>
      <c r="F22" s="108">
        <f>SUM(C22:C27)</f>
        <v/>
      </c>
      <c r="G22" s="103">
        <f>IF(OR(K22=0,L22=0),"",E22/F22)</f>
        <v/>
      </c>
      <c r="H22" s="95">
        <f>IF(G22="","NO DATA",IF(G22&lt;=Assumptions!$B$16,"GREEN",IF(G22&lt;=Assumptions!$C$16,"WATCH",IF(G22&lt;=Assumptions!$D$16,"YELLOW",IF(G22&lt;=Assumptions!$E$16,"ORANGE","RED")))))</f>
        <v/>
      </c>
      <c r="I22" s="103">
        <f>IF(OR(G22="",G19=""),"",G22-G19)</f>
        <v/>
      </c>
      <c r="J22" s="88" t="n"/>
      <c r="K22" s="63">
        <f>COUNTIFS('Hardware Deliveries'!$A$5:$A$56,1,'Hardware Deliveries'!$F$5:$F$56,"&lt;="&amp;A22,'Hardware Deliveries'!$G$5:$G$56,"&gt;="&amp;A22)</f>
        <v/>
      </c>
      <c r="L22" s="63">
        <f>COUNTIFS('Power Deliveries'!$A$5:$A$55,1,'Power Deliveries'!$E$5:$E$55,"&lt;="&amp;A22,'Power Deliveries'!$F$5:$F$55,"&gt;="&amp;A22)</f>
        <v/>
      </c>
    </row>
    <row r="23">
      <c r="A23" s="94" t="n">
        <v>46569</v>
      </c>
      <c r="B23" s="108">
        <f>SUMIFS('Hardware Deliveries'!$M$5:$M$56,'Hardware Deliveries'!$A$5:$A$56,1,'Hardware Deliveries'!$F$5:$F$56,"&lt;="&amp;A23,'Hardware Deliveries'!$G$5:$G$56,"&gt;="&amp;A23)</f>
        <v/>
      </c>
      <c r="C23" s="108">
        <f>SUMIFS('Power Deliveries'!$M$5:$M$55,'Power Deliveries'!$A$5:$A$55,1,'Power Deliveries'!$E$5:$E$55,"&lt;="&amp;A23,'Power Deliveries'!$F$5:$F$55,"&gt;="&amp;A23)</f>
        <v/>
      </c>
      <c r="D23" s="108">
        <f>B23-C23</f>
        <v/>
      </c>
      <c r="E23" s="108">
        <f>SUM(B23:B28)</f>
        <v/>
      </c>
      <c r="F23" s="108">
        <f>SUM(C23:C28)</f>
        <v/>
      </c>
      <c r="G23" s="103">
        <f>IF(OR(K23=0,L23=0),"",E23/F23)</f>
        <v/>
      </c>
      <c r="H23" s="95">
        <f>IF(G23="","NO DATA",IF(G23&lt;=Assumptions!$B$16,"GREEN",IF(G23&lt;=Assumptions!$C$16,"WATCH",IF(G23&lt;=Assumptions!$D$16,"YELLOW",IF(G23&lt;=Assumptions!$E$16,"ORANGE","RED")))))</f>
        <v/>
      </c>
      <c r="I23" s="103">
        <f>IF(OR(G23="",G20=""),"",G23-G20)</f>
        <v/>
      </c>
      <c r="J23" s="88" t="n"/>
      <c r="K23" s="63">
        <f>COUNTIFS('Hardware Deliveries'!$A$5:$A$56,1,'Hardware Deliveries'!$F$5:$F$56,"&lt;="&amp;A23,'Hardware Deliveries'!$G$5:$G$56,"&gt;="&amp;A23)</f>
        <v/>
      </c>
      <c r="L23" s="63">
        <f>COUNTIFS('Power Deliveries'!$A$5:$A$55,1,'Power Deliveries'!$E$5:$E$55,"&lt;="&amp;A23,'Power Deliveries'!$F$5:$F$55,"&gt;="&amp;A23)</f>
        <v/>
      </c>
    </row>
    <row r="24">
      <c r="A24" s="94" t="n">
        <v>46600</v>
      </c>
      <c r="B24" s="108">
        <f>SUMIFS('Hardware Deliveries'!$M$5:$M$56,'Hardware Deliveries'!$A$5:$A$56,1,'Hardware Deliveries'!$F$5:$F$56,"&lt;="&amp;A24,'Hardware Deliveries'!$G$5:$G$56,"&gt;="&amp;A24)</f>
        <v/>
      </c>
      <c r="C24" s="108">
        <f>SUMIFS('Power Deliveries'!$M$5:$M$55,'Power Deliveries'!$A$5:$A$55,1,'Power Deliveries'!$E$5:$E$55,"&lt;="&amp;A24,'Power Deliveries'!$F$5:$F$55,"&gt;="&amp;A24)</f>
        <v/>
      </c>
      <c r="D24" s="108">
        <f>B24-C24</f>
        <v/>
      </c>
      <c r="E24" s="108">
        <f>SUM(B24:B29)</f>
        <v/>
      </c>
      <c r="F24" s="108">
        <f>SUM(C24:C29)</f>
        <v/>
      </c>
      <c r="G24" s="103">
        <f>IF(OR(K24=0,L24=0),"",E24/F24)</f>
        <v/>
      </c>
      <c r="H24" s="95">
        <f>IF(G24="","NO DATA",IF(G24&lt;=Assumptions!$B$16,"GREEN",IF(G24&lt;=Assumptions!$C$16,"WATCH",IF(G24&lt;=Assumptions!$D$16,"YELLOW",IF(G24&lt;=Assumptions!$E$16,"ORANGE","RED")))))</f>
        <v/>
      </c>
      <c r="I24" s="103">
        <f>IF(OR(G24="",G21=""),"",G24-G21)</f>
        <v/>
      </c>
      <c r="J24" s="88" t="n"/>
      <c r="K24" s="63">
        <f>COUNTIFS('Hardware Deliveries'!$A$5:$A$56,1,'Hardware Deliveries'!$F$5:$F$56,"&lt;="&amp;A24,'Hardware Deliveries'!$G$5:$G$56,"&gt;="&amp;A24)</f>
        <v/>
      </c>
      <c r="L24" s="63">
        <f>COUNTIFS('Power Deliveries'!$A$5:$A$55,1,'Power Deliveries'!$E$5:$E$55,"&lt;="&amp;A24,'Power Deliveries'!$F$5:$F$55,"&gt;="&amp;A24)</f>
        <v/>
      </c>
    </row>
    <row r="25">
      <c r="A25" s="94" t="n">
        <v>46631</v>
      </c>
      <c r="B25" s="108">
        <f>SUMIFS('Hardware Deliveries'!$M$5:$M$56,'Hardware Deliveries'!$A$5:$A$56,1,'Hardware Deliveries'!$F$5:$F$56,"&lt;="&amp;A25,'Hardware Deliveries'!$G$5:$G$56,"&gt;="&amp;A25)</f>
        <v/>
      </c>
      <c r="C25" s="108">
        <f>SUMIFS('Power Deliveries'!$M$5:$M$55,'Power Deliveries'!$A$5:$A$55,1,'Power Deliveries'!$E$5:$E$55,"&lt;="&amp;A25,'Power Deliveries'!$F$5:$F$55,"&gt;="&amp;A25)</f>
        <v/>
      </c>
      <c r="D25" s="108">
        <f>B25-C25</f>
        <v/>
      </c>
      <c r="E25" s="108">
        <f>SUM(B25:B30)</f>
        <v/>
      </c>
      <c r="F25" s="108">
        <f>SUM(C25:C30)</f>
        <v/>
      </c>
      <c r="G25" s="103">
        <f>IF(OR(K25=0,L25=0),"",E25/F25)</f>
        <v/>
      </c>
      <c r="H25" s="95">
        <f>IF(G25="","NO DATA",IF(G25&lt;=Assumptions!$B$16,"GREEN",IF(G25&lt;=Assumptions!$C$16,"WATCH",IF(G25&lt;=Assumptions!$D$16,"YELLOW",IF(G25&lt;=Assumptions!$E$16,"ORANGE","RED")))))</f>
        <v/>
      </c>
      <c r="I25" s="103">
        <f>IF(OR(G25="",G22=""),"",G25-G22)</f>
        <v/>
      </c>
      <c r="J25" s="88" t="n"/>
      <c r="K25" s="63">
        <f>COUNTIFS('Hardware Deliveries'!$A$5:$A$56,1,'Hardware Deliveries'!$F$5:$F$56,"&lt;="&amp;A25,'Hardware Deliveries'!$G$5:$G$56,"&gt;="&amp;A25)</f>
        <v/>
      </c>
      <c r="L25" s="63">
        <f>COUNTIFS('Power Deliveries'!$A$5:$A$55,1,'Power Deliveries'!$E$5:$E$55,"&lt;="&amp;A25,'Power Deliveries'!$F$5:$F$55,"&gt;="&amp;A25)</f>
        <v/>
      </c>
    </row>
    <row r="26">
      <c r="A26" s="94" t="n">
        <v>46661</v>
      </c>
      <c r="B26" s="108">
        <f>SUMIFS('Hardware Deliveries'!$M$5:$M$56,'Hardware Deliveries'!$A$5:$A$56,1,'Hardware Deliveries'!$F$5:$F$56,"&lt;="&amp;A26,'Hardware Deliveries'!$G$5:$G$56,"&gt;="&amp;A26)</f>
        <v/>
      </c>
      <c r="C26" s="108">
        <f>SUMIFS('Power Deliveries'!$M$5:$M$55,'Power Deliveries'!$A$5:$A$55,1,'Power Deliveries'!$E$5:$E$55,"&lt;="&amp;A26,'Power Deliveries'!$F$5:$F$55,"&gt;="&amp;A26)</f>
        <v/>
      </c>
      <c r="D26" s="108">
        <f>B26-C26</f>
        <v/>
      </c>
      <c r="E26" s="108">
        <f>SUM(B26:B31)</f>
        <v/>
      </c>
      <c r="F26" s="108">
        <f>SUM(C26:C31)</f>
        <v/>
      </c>
      <c r="G26" s="103">
        <f>IF(OR(K26=0,L26=0),"",E26/F26)</f>
        <v/>
      </c>
      <c r="H26" s="95">
        <f>IF(G26="","NO DATA",IF(G26&lt;=Assumptions!$B$16,"GREEN",IF(G26&lt;=Assumptions!$C$16,"WATCH",IF(G26&lt;=Assumptions!$D$16,"YELLOW",IF(G26&lt;=Assumptions!$E$16,"ORANGE","RED")))))</f>
        <v/>
      </c>
      <c r="I26" s="103">
        <f>IF(OR(G26="",G23=""),"",G26-G23)</f>
        <v/>
      </c>
      <c r="J26" s="88" t="n"/>
      <c r="K26" s="63">
        <f>COUNTIFS('Hardware Deliveries'!$A$5:$A$56,1,'Hardware Deliveries'!$F$5:$F$56,"&lt;="&amp;A26,'Hardware Deliveries'!$G$5:$G$56,"&gt;="&amp;A26)</f>
        <v/>
      </c>
      <c r="L26" s="63">
        <f>COUNTIFS('Power Deliveries'!$A$5:$A$55,1,'Power Deliveries'!$E$5:$E$55,"&lt;="&amp;A26,'Power Deliveries'!$F$5:$F$55,"&gt;="&amp;A26)</f>
        <v/>
      </c>
    </row>
    <row r="27">
      <c r="A27" s="94" t="n">
        <v>46692</v>
      </c>
      <c r="B27" s="108">
        <f>SUMIFS('Hardware Deliveries'!$M$5:$M$56,'Hardware Deliveries'!$A$5:$A$56,1,'Hardware Deliveries'!$F$5:$F$56,"&lt;="&amp;A27,'Hardware Deliveries'!$G$5:$G$56,"&gt;="&amp;A27)</f>
        <v/>
      </c>
      <c r="C27" s="108">
        <f>SUMIFS('Power Deliveries'!$M$5:$M$55,'Power Deliveries'!$A$5:$A$55,1,'Power Deliveries'!$E$5:$E$55,"&lt;="&amp;A27,'Power Deliveries'!$F$5:$F$55,"&gt;="&amp;A27)</f>
        <v/>
      </c>
      <c r="D27" s="108">
        <f>B27-C27</f>
        <v/>
      </c>
      <c r="E27" s="108">
        <f>SUM(B27:B32)</f>
        <v/>
      </c>
      <c r="F27" s="108">
        <f>SUM(C27:C32)</f>
        <v/>
      </c>
      <c r="G27" s="103">
        <f>IF(OR(K27=0,L27=0),"",E27/F27)</f>
        <v/>
      </c>
      <c r="H27" s="95">
        <f>IF(G27="","NO DATA",IF(G27&lt;=Assumptions!$B$16,"GREEN",IF(G27&lt;=Assumptions!$C$16,"WATCH",IF(G27&lt;=Assumptions!$D$16,"YELLOW",IF(G27&lt;=Assumptions!$E$16,"ORANGE","RED")))))</f>
        <v/>
      </c>
      <c r="I27" s="103">
        <f>IF(OR(G27="",G24=""),"",G27-G24)</f>
        <v/>
      </c>
      <c r="J27" s="88" t="n"/>
      <c r="K27" s="63">
        <f>COUNTIFS('Hardware Deliveries'!$A$5:$A$56,1,'Hardware Deliveries'!$F$5:$F$56,"&lt;="&amp;A27,'Hardware Deliveries'!$G$5:$G$56,"&gt;="&amp;A27)</f>
        <v/>
      </c>
      <c r="L27" s="63">
        <f>COUNTIFS('Power Deliveries'!$A$5:$A$55,1,'Power Deliveries'!$E$5:$E$55,"&lt;="&amp;A27,'Power Deliveries'!$F$5:$F$55,"&gt;="&amp;A27)</f>
        <v/>
      </c>
    </row>
    <row r="28">
      <c r="A28" s="94" t="n">
        <v>46722</v>
      </c>
      <c r="B28" s="108">
        <f>SUMIFS('Hardware Deliveries'!$M$5:$M$56,'Hardware Deliveries'!$A$5:$A$56,1,'Hardware Deliveries'!$F$5:$F$56,"&lt;="&amp;A28,'Hardware Deliveries'!$G$5:$G$56,"&gt;="&amp;A28)</f>
        <v/>
      </c>
      <c r="C28" s="108">
        <f>SUMIFS('Power Deliveries'!$M$5:$M$55,'Power Deliveries'!$A$5:$A$55,1,'Power Deliveries'!$E$5:$E$55,"&lt;="&amp;A28,'Power Deliveries'!$F$5:$F$55,"&gt;="&amp;A28)</f>
        <v/>
      </c>
      <c r="D28" s="108">
        <f>B28-C28</f>
        <v/>
      </c>
      <c r="E28" s="108">
        <f>SUM(B28:B33)</f>
        <v/>
      </c>
      <c r="F28" s="108">
        <f>SUM(C28:C33)</f>
        <v/>
      </c>
      <c r="G28" s="103">
        <f>IF(OR(K28=0,L28=0),"",E28/F28)</f>
        <v/>
      </c>
      <c r="H28" s="95">
        <f>IF(G28="","NO DATA",IF(G28&lt;=Assumptions!$B$16,"GREEN",IF(G28&lt;=Assumptions!$C$16,"WATCH",IF(G28&lt;=Assumptions!$D$16,"YELLOW",IF(G28&lt;=Assumptions!$E$16,"ORANGE","RED")))))</f>
        <v/>
      </c>
      <c r="I28" s="103">
        <f>IF(OR(G28="",G25=""),"",G28-G25)</f>
        <v/>
      </c>
      <c r="J28" s="88" t="n"/>
      <c r="K28" s="63">
        <f>COUNTIFS('Hardware Deliveries'!$A$5:$A$56,1,'Hardware Deliveries'!$F$5:$F$56,"&lt;="&amp;A28,'Hardware Deliveries'!$G$5:$G$56,"&gt;="&amp;A28)</f>
        <v/>
      </c>
      <c r="L28" s="63">
        <f>COUNTIFS('Power Deliveries'!$A$5:$A$55,1,'Power Deliveries'!$E$5:$E$55,"&lt;="&amp;A28,'Power Deliveries'!$F$5:$F$55,"&gt;="&amp;A28)</f>
        <v/>
      </c>
    </row>
    <row r="29">
      <c r="A29" s="94" t="n">
        <v>46753</v>
      </c>
      <c r="B29" s="108">
        <f>SUMIFS('Hardware Deliveries'!$M$5:$M$56,'Hardware Deliveries'!$A$5:$A$56,1,'Hardware Deliveries'!$F$5:$F$56,"&lt;="&amp;A29,'Hardware Deliveries'!$G$5:$G$56,"&gt;="&amp;A29)</f>
        <v/>
      </c>
      <c r="C29" s="108">
        <f>SUMIFS('Power Deliveries'!$M$5:$M$55,'Power Deliveries'!$A$5:$A$55,1,'Power Deliveries'!$E$5:$E$55,"&lt;="&amp;A29,'Power Deliveries'!$F$5:$F$55,"&gt;="&amp;A29)</f>
        <v/>
      </c>
      <c r="D29" s="108">
        <f>B29-C29</f>
        <v/>
      </c>
      <c r="E29" s="108">
        <f>SUM(B29:B34)</f>
        <v/>
      </c>
      <c r="F29" s="108">
        <f>SUM(C29:C34)</f>
        <v/>
      </c>
      <c r="G29" s="103">
        <f>IF(OR(K29=0,L29=0),"",E29/F29)</f>
        <v/>
      </c>
      <c r="H29" s="95">
        <f>IF(G29="","NO DATA",IF(G29&lt;=Assumptions!$B$16,"GREEN",IF(G29&lt;=Assumptions!$C$16,"WATCH",IF(G29&lt;=Assumptions!$D$16,"YELLOW",IF(G29&lt;=Assumptions!$E$16,"ORANGE","RED")))))</f>
        <v/>
      </c>
      <c r="I29" s="103">
        <f>IF(OR(G29="",G26=""),"",G29-G26)</f>
        <v/>
      </c>
      <c r="J29" s="88" t="n"/>
      <c r="K29" s="63">
        <f>COUNTIFS('Hardware Deliveries'!$A$5:$A$56,1,'Hardware Deliveries'!$F$5:$F$56,"&lt;="&amp;A29,'Hardware Deliveries'!$G$5:$G$56,"&gt;="&amp;A29)</f>
        <v/>
      </c>
      <c r="L29" s="63">
        <f>COUNTIFS('Power Deliveries'!$A$5:$A$55,1,'Power Deliveries'!$E$5:$E$55,"&lt;="&amp;A29,'Power Deliveries'!$F$5:$F$55,"&gt;="&amp;A29)</f>
        <v/>
      </c>
    </row>
    <row r="30">
      <c r="A30" s="94" t="n">
        <v>46784</v>
      </c>
      <c r="B30" s="108">
        <f>SUMIFS('Hardware Deliveries'!$M$5:$M$56,'Hardware Deliveries'!$A$5:$A$56,1,'Hardware Deliveries'!$F$5:$F$56,"&lt;="&amp;A30,'Hardware Deliveries'!$G$5:$G$56,"&gt;="&amp;A30)</f>
        <v/>
      </c>
      <c r="C30" s="108">
        <f>SUMIFS('Power Deliveries'!$M$5:$M$55,'Power Deliveries'!$A$5:$A$55,1,'Power Deliveries'!$E$5:$E$55,"&lt;="&amp;A30,'Power Deliveries'!$F$5:$F$55,"&gt;="&amp;A30)</f>
        <v/>
      </c>
      <c r="D30" s="108">
        <f>B30-C30</f>
        <v/>
      </c>
      <c r="E30" s="108">
        <f>SUM(B30:B35)</f>
        <v/>
      </c>
      <c r="F30" s="108">
        <f>SUM(C30:C35)</f>
        <v/>
      </c>
      <c r="G30" s="103">
        <f>IF(OR(K30=0,L30=0),"",E30/F30)</f>
        <v/>
      </c>
      <c r="H30" s="95">
        <f>IF(G30="","NO DATA",IF(G30&lt;=Assumptions!$B$16,"GREEN",IF(G30&lt;=Assumptions!$C$16,"WATCH",IF(G30&lt;=Assumptions!$D$16,"YELLOW",IF(G30&lt;=Assumptions!$E$16,"ORANGE","RED")))))</f>
        <v/>
      </c>
      <c r="I30" s="103">
        <f>IF(OR(G30="",G27=""),"",G30-G27)</f>
        <v/>
      </c>
      <c r="J30" s="88" t="n"/>
      <c r="K30" s="63">
        <f>COUNTIFS('Hardware Deliveries'!$A$5:$A$56,1,'Hardware Deliveries'!$F$5:$F$56,"&lt;="&amp;A30,'Hardware Deliveries'!$G$5:$G$56,"&gt;="&amp;A30)</f>
        <v/>
      </c>
      <c r="L30" s="63">
        <f>COUNTIFS('Power Deliveries'!$A$5:$A$55,1,'Power Deliveries'!$E$5:$E$55,"&lt;="&amp;A30,'Power Deliveries'!$F$5:$F$55,"&gt;="&amp;A30)</f>
        <v/>
      </c>
    </row>
    <row r="31">
      <c r="A31" s="94" t="n">
        <v>46813</v>
      </c>
      <c r="B31" s="108">
        <f>SUMIFS('Hardware Deliveries'!$M$5:$M$56,'Hardware Deliveries'!$A$5:$A$56,1,'Hardware Deliveries'!$F$5:$F$56,"&lt;="&amp;A31,'Hardware Deliveries'!$G$5:$G$56,"&gt;="&amp;A31)</f>
        <v/>
      </c>
      <c r="C31" s="108">
        <f>SUMIFS('Power Deliveries'!$M$5:$M$55,'Power Deliveries'!$A$5:$A$55,1,'Power Deliveries'!$E$5:$E$55,"&lt;="&amp;A31,'Power Deliveries'!$F$5:$F$55,"&gt;="&amp;A31)</f>
        <v/>
      </c>
      <c r="D31" s="108">
        <f>B31-C31</f>
        <v/>
      </c>
      <c r="E31" s="108">
        <f>SUM(B31:B36)</f>
        <v/>
      </c>
      <c r="F31" s="108">
        <f>SUM(C31:C36)</f>
        <v/>
      </c>
      <c r="G31" s="103">
        <f>IF(OR(K31=0,L31=0),"",E31/F31)</f>
        <v/>
      </c>
      <c r="H31" s="95">
        <f>IF(G31="","NO DATA",IF(G31&lt;=Assumptions!$B$16,"GREEN",IF(G31&lt;=Assumptions!$C$16,"WATCH",IF(G31&lt;=Assumptions!$D$16,"YELLOW",IF(G31&lt;=Assumptions!$E$16,"ORANGE","RED")))))</f>
        <v/>
      </c>
      <c r="I31" s="103">
        <f>IF(OR(G31="",G28=""),"",G31-G28)</f>
        <v/>
      </c>
      <c r="J31" s="88" t="n"/>
      <c r="K31" s="63">
        <f>COUNTIFS('Hardware Deliveries'!$A$5:$A$56,1,'Hardware Deliveries'!$F$5:$F$56,"&lt;="&amp;A31,'Hardware Deliveries'!$G$5:$G$56,"&gt;="&amp;A31)</f>
        <v/>
      </c>
      <c r="L31" s="63">
        <f>COUNTIFS('Power Deliveries'!$A$5:$A$55,1,'Power Deliveries'!$E$5:$E$55,"&lt;="&amp;A31,'Power Deliveries'!$F$5:$F$55,"&gt;="&amp;A31)</f>
        <v/>
      </c>
    </row>
    <row r="32">
      <c r="A32" s="94" t="n">
        <v>46844</v>
      </c>
      <c r="B32" s="108">
        <f>SUMIFS('Hardware Deliveries'!$M$5:$M$56,'Hardware Deliveries'!$A$5:$A$56,1,'Hardware Deliveries'!$F$5:$F$56,"&lt;="&amp;A32,'Hardware Deliveries'!$G$5:$G$56,"&gt;="&amp;A32)</f>
        <v/>
      </c>
      <c r="C32" s="108">
        <f>SUMIFS('Power Deliveries'!$M$5:$M$55,'Power Deliveries'!$A$5:$A$55,1,'Power Deliveries'!$E$5:$E$55,"&lt;="&amp;A32,'Power Deliveries'!$F$5:$F$55,"&gt;="&amp;A32)</f>
        <v/>
      </c>
      <c r="D32" s="108">
        <f>B32-C32</f>
        <v/>
      </c>
      <c r="E32" s="108">
        <f>SUM(B32:B37)</f>
        <v/>
      </c>
      <c r="F32" s="108">
        <f>SUM(C32:C37)</f>
        <v/>
      </c>
      <c r="G32" s="103">
        <f>IF(OR(K32=0,L32=0),"",E32/F32)</f>
        <v/>
      </c>
      <c r="H32" s="95">
        <f>IF(G32="","NO DATA",IF(G32&lt;=Assumptions!$B$16,"GREEN",IF(G32&lt;=Assumptions!$C$16,"WATCH",IF(G32&lt;=Assumptions!$D$16,"YELLOW",IF(G32&lt;=Assumptions!$E$16,"ORANGE","RED")))))</f>
        <v/>
      </c>
      <c r="I32" s="103">
        <f>IF(OR(G32="",G29=""),"",G32-G29)</f>
        <v/>
      </c>
      <c r="J32" s="88" t="n"/>
      <c r="K32" s="63">
        <f>COUNTIFS('Hardware Deliveries'!$A$5:$A$56,1,'Hardware Deliveries'!$F$5:$F$56,"&lt;="&amp;A32,'Hardware Deliveries'!$G$5:$G$56,"&gt;="&amp;A32)</f>
        <v/>
      </c>
      <c r="L32" s="63">
        <f>COUNTIFS('Power Deliveries'!$A$5:$A$55,1,'Power Deliveries'!$E$5:$E$55,"&lt;="&amp;A32,'Power Deliveries'!$F$5:$F$55,"&gt;="&amp;A32)</f>
        <v/>
      </c>
    </row>
    <row r="33">
      <c r="A33" s="94" t="n">
        <v>46874</v>
      </c>
      <c r="B33" s="108">
        <f>SUMIFS('Hardware Deliveries'!$M$5:$M$56,'Hardware Deliveries'!$A$5:$A$56,1,'Hardware Deliveries'!$F$5:$F$56,"&lt;="&amp;A33,'Hardware Deliveries'!$G$5:$G$56,"&gt;="&amp;A33)</f>
        <v/>
      </c>
      <c r="C33" s="108">
        <f>SUMIFS('Power Deliveries'!$M$5:$M$55,'Power Deliveries'!$A$5:$A$55,1,'Power Deliveries'!$E$5:$E$55,"&lt;="&amp;A33,'Power Deliveries'!$F$5:$F$55,"&gt;="&amp;A33)</f>
        <v/>
      </c>
      <c r="D33" s="108">
        <f>B33-C33</f>
        <v/>
      </c>
      <c r="E33" s="108">
        <f>SUM(B33:B38)</f>
        <v/>
      </c>
      <c r="F33" s="108">
        <f>SUM(C33:C38)</f>
        <v/>
      </c>
      <c r="G33" s="103">
        <f>IF(OR(K33=0,L33=0),"",E33/F33)</f>
        <v/>
      </c>
      <c r="H33" s="95">
        <f>IF(G33="","NO DATA",IF(G33&lt;=Assumptions!$B$16,"GREEN",IF(G33&lt;=Assumptions!$C$16,"WATCH",IF(G33&lt;=Assumptions!$D$16,"YELLOW",IF(G33&lt;=Assumptions!$E$16,"ORANGE","RED")))))</f>
        <v/>
      </c>
      <c r="I33" s="103">
        <f>IF(OR(G33="",G30=""),"",G33-G30)</f>
        <v/>
      </c>
      <c r="J33" s="88" t="n"/>
      <c r="K33" s="63">
        <f>COUNTIFS('Hardware Deliveries'!$A$5:$A$56,1,'Hardware Deliveries'!$F$5:$F$56,"&lt;="&amp;A33,'Hardware Deliveries'!$G$5:$G$56,"&gt;="&amp;A33)</f>
        <v/>
      </c>
      <c r="L33" s="63">
        <f>COUNTIFS('Power Deliveries'!$A$5:$A$55,1,'Power Deliveries'!$E$5:$E$55,"&lt;="&amp;A33,'Power Deliveries'!$F$5:$F$55,"&gt;="&amp;A33)</f>
        <v/>
      </c>
    </row>
    <row r="34">
      <c r="A34" s="94" t="n">
        <v>46905</v>
      </c>
      <c r="B34" s="108">
        <f>SUMIFS('Hardware Deliveries'!$M$5:$M$56,'Hardware Deliveries'!$A$5:$A$56,1,'Hardware Deliveries'!$F$5:$F$56,"&lt;="&amp;A34,'Hardware Deliveries'!$G$5:$G$56,"&gt;="&amp;A34)</f>
        <v/>
      </c>
      <c r="C34" s="108">
        <f>SUMIFS('Power Deliveries'!$M$5:$M$55,'Power Deliveries'!$A$5:$A$55,1,'Power Deliveries'!$E$5:$E$55,"&lt;="&amp;A34,'Power Deliveries'!$F$5:$F$55,"&gt;="&amp;A34)</f>
        <v/>
      </c>
      <c r="D34" s="108">
        <f>B34-C34</f>
        <v/>
      </c>
      <c r="E34" s="108">
        <f>SUM(B34:B39)</f>
        <v/>
      </c>
      <c r="F34" s="108">
        <f>SUM(C34:C39)</f>
        <v/>
      </c>
      <c r="G34" s="103">
        <f>IF(OR(K34=0,L34=0),"",E34/F34)</f>
        <v/>
      </c>
      <c r="H34" s="95">
        <f>IF(G34="","NO DATA",IF(G34&lt;=Assumptions!$B$16,"GREEN",IF(G34&lt;=Assumptions!$C$16,"WATCH",IF(G34&lt;=Assumptions!$D$16,"YELLOW",IF(G34&lt;=Assumptions!$E$16,"ORANGE","RED")))))</f>
        <v/>
      </c>
      <c r="I34" s="103">
        <f>IF(OR(G34="",G31=""),"",G34-G31)</f>
        <v/>
      </c>
      <c r="J34" s="88" t="n"/>
      <c r="K34" s="63">
        <f>COUNTIFS('Hardware Deliveries'!$A$5:$A$56,1,'Hardware Deliveries'!$F$5:$F$56,"&lt;="&amp;A34,'Hardware Deliveries'!$G$5:$G$56,"&gt;="&amp;A34)</f>
        <v/>
      </c>
      <c r="L34" s="63">
        <f>COUNTIFS('Power Deliveries'!$A$5:$A$55,1,'Power Deliveries'!$E$5:$E$55,"&lt;="&amp;A34,'Power Deliveries'!$F$5:$F$55,"&gt;="&amp;A34)</f>
        <v/>
      </c>
    </row>
    <row r="35">
      <c r="A35" s="94" t="n">
        <v>46935</v>
      </c>
      <c r="B35" s="108">
        <f>SUMIFS('Hardware Deliveries'!$M$5:$M$56,'Hardware Deliveries'!$A$5:$A$56,1,'Hardware Deliveries'!$F$5:$F$56,"&lt;="&amp;A35,'Hardware Deliveries'!$G$5:$G$56,"&gt;="&amp;A35)</f>
        <v/>
      </c>
      <c r="C35" s="108">
        <f>SUMIFS('Power Deliveries'!$M$5:$M$55,'Power Deliveries'!$A$5:$A$55,1,'Power Deliveries'!$E$5:$E$55,"&lt;="&amp;A35,'Power Deliveries'!$F$5:$F$55,"&gt;="&amp;A35)</f>
        <v/>
      </c>
      <c r="D35" s="108">
        <f>B35-C35</f>
        <v/>
      </c>
      <c r="E35" s="108">
        <f>SUM(B35:B40)</f>
        <v/>
      </c>
      <c r="F35" s="108">
        <f>SUM(C35:C40)</f>
        <v/>
      </c>
      <c r="G35" s="103">
        <f>IF(OR(K35=0,L35=0),"",E35/F35)</f>
        <v/>
      </c>
      <c r="H35" s="95">
        <f>IF(G35="","NO DATA",IF(G35&lt;=Assumptions!$B$16,"GREEN",IF(G35&lt;=Assumptions!$C$16,"WATCH",IF(G35&lt;=Assumptions!$D$16,"YELLOW",IF(G35&lt;=Assumptions!$E$16,"ORANGE","RED")))))</f>
        <v/>
      </c>
      <c r="I35" s="103">
        <f>IF(OR(G35="",G32=""),"",G35-G32)</f>
        <v/>
      </c>
      <c r="J35" s="88" t="n"/>
      <c r="K35" s="63">
        <f>COUNTIFS('Hardware Deliveries'!$A$5:$A$56,1,'Hardware Deliveries'!$F$5:$F$56,"&lt;="&amp;A35,'Hardware Deliveries'!$G$5:$G$56,"&gt;="&amp;A35)</f>
        <v/>
      </c>
      <c r="L35" s="63">
        <f>COUNTIFS('Power Deliveries'!$A$5:$A$55,1,'Power Deliveries'!$E$5:$E$55,"&lt;="&amp;A35,'Power Deliveries'!$F$5:$F$55,"&gt;="&amp;A35)</f>
        <v/>
      </c>
    </row>
    <row r="36">
      <c r="A36" s="94" t="n">
        <v>46966</v>
      </c>
      <c r="B36" s="108">
        <f>SUMIFS('Hardware Deliveries'!$M$5:$M$56,'Hardware Deliveries'!$A$5:$A$56,1,'Hardware Deliveries'!$F$5:$F$56,"&lt;="&amp;A36,'Hardware Deliveries'!$G$5:$G$56,"&gt;="&amp;A36)</f>
        <v/>
      </c>
      <c r="C36" s="108">
        <f>SUMIFS('Power Deliveries'!$M$5:$M$55,'Power Deliveries'!$A$5:$A$55,1,'Power Deliveries'!$E$5:$E$55,"&lt;="&amp;A36,'Power Deliveries'!$F$5:$F$55,"&gt;="&amp;A36)</f>
        <v/>
      </c>
      <c r="D36" s="108">
        <f>B36-C36</f>
        <v/>
      </c>
      <c r="E36" s="108">
        <f>SUM(B36:B40)</f>
        <v/>
      </c>
      <c r="F36" s="108">
        <f>SUM(C36:C40)</f>
        <v/>
      </c>
      <c r="G36" s="103">
        <f>IF(OR(K36=0,L36=0),"",E36/F36)</f>
        <v/>
      </c>
      <c r="H36" s="95">
        <f>IF(G36="","NO DATA",IF(G36&lt;=Assumptions!$B$16,"GREEN",IF(G36&lt;=Assumptions!$C$16,"WATCH",IF(G36&lt;=Assumptions!$D$16,"YELLOW",IF(G36&lt;=Assumptions!$E$16,"ORANGE","RED")))))</f>
        <v/>
      </c>
      <c r="I36" s="103">
        <f>IF(OR(G36="",G33=""),"",G36-G33)</f>
        <v/>
      </c>
      <c r="J36" s="88" t="n"/>
      <c r="K36" s="63">
        <f>COUNTIFS('Hardware Deliveries'!$A$5:$A$56,1,'Hardware Deliveries'!$F$5:$F$56,"&lt;="&amp;A36,'Hardware Deliveries'!$G$5:$G$56,"&gt;="&amp;A36)</f>
        <v/>
      </c>
      <c r="L36" s="63">
        <f>COUNTIFS('Power Deliveries'!$A$5:$A$55,1,'Power Deliveries'!$E$5:$E$55,"&lt;="&amp;A36,'Power Deliveries'!$F$5:$F$55,"&gt;="&amp;A36)</f>
        <v/>
      </c>
    </row>
    <row r="37">
      <c r="A37" s="94" t="n">
        <v>46997</v>
      </c>
      <c r="B37" s="108">
        <f>SUMIFS('Hardware Deliveries'!$M$5:$M$56,'Hardware Deliveries'!$A$5:$A$56,1,'Hardware Deliveries'!$F$5:$F$56,"&lt;="&amp;A37,'Hardware Deliveries'!$G$5:$G$56,"&gt;="&amp;A37)</f>
        <v/>
      </c>
      <c r="C37" s="108">
        <f>SUMIFS('Power Deliveries'!$M$5:$M$55,'Power Deliveries'!$A$5:$A$55,1,'Power Deliveries'!$E$5:$E$55,"&lt;="&amp;A37,'Power Deliveries'!$F$5:$F$55,"&gt;="&amp;A37)</f>
        <v/>
      </c>
      <c r="D37" s="108">
        <f>B37-C37</f>
        <v/>
      </c>
      <c r="E37" s="108">
        <f>SUM(B37:B40)</f>
        <v/>
      </c>
      <c r="F37" s="108">
        <f>SUM(C37:C40)</f>
        <v/>
      </c>
      <c r="G37" s="103">
        <f>IF(OR(K37=0,L37=0),"",E37/F37)</f>
        <v/>
      </c>
      <c r="H37" s="95">
        <f>IF(G37="","NO DATA",IF(G37&lt;=Assumptions!$B$16,"GREEN",IF(G37&lt;=Assumptions!$C$16,"WATCH",IF(G37&lt;=Assumptions!$D$16,"YELLOW",IF(G37&lt;=Assumptions!$E$16,"ORANGE","RED")))))</f>
        <v/>
      </c>
      <c r="I37" s="103">
        <f>IF(OR(G37="",G34=""),"",G37-G34)</f>
        <v/>
      </c>
      <c r="J37" s="88" t="n"/>
      <c r="K37" s="63">
        <f>COUNTIFS('Hardware Deliveries'!$A$5:$A$56,1,'Hardware Deliveries'!$F$5:$F$56,"&lt;="&amp;A37,'Hardware Deliveries'!$G$5:$G$56,"&gt;="&amp;A37)</f>
        <v/>
      </c>
      <c r="L37" s="63">
        <f>COUNTIFS('Power Deliveries'!$A$5:$A$55,1,'Power Deliveries'!$E$5:$E$55,"&lt;="&amp;A37,'Power Deliveries'!$F$5:$F$55,"&gt;="&amp;A37)</f>
        <v/>
      </c>
    </row>
    <row r="38">
      <c r="A38" s="94" t="n">
        <v>47027</v>
      </c>
      <c r="B38" s="108">
        <f>SUMIFS('Hardware Deliveries'!$M$5:$M$56,'Hardware Deliveries'!$A$5:$A$56,1,'Hardware Deliveries'!$F$5:$F$56,"&lt;="&amp;A38,'Hardware Deliveries'!$G$5:$G$56,"&gt;="&amp;A38)</f>
        <v/>
      </c>
      <c r="C38" s="108">
        <f>SUMIFS('Power Deliveries'!$M$5:$M$55,'Power Deliveries'!$A$5:$A$55,1,'Power Deliveries'!$E$5:$E$55,"&lt;="&amp;A38,'Power Deliveries'!$F$5:$F$55,"&gt;="&amp;A38)</f>
        <v/>
      </c>
      <c r="D38" s="108">
        <f>B38-C38</f>
        <v/>
      </c>
      <c r="E38" s="108">
        <f>SUM(B38:B40)</f>
        <v/>
      </c>
      <c r="F38" s="108">
        <f>SUM(C38:C40)</f>
        <v/>
      </c>
      <c r="G38" s="103">
        <f>IF(OR(K38=0,L38=0),"",E38/F38)</f>
        <v/>
      </c>
      <c r="H38" s="95">
        <f>IF(G38="","NO DATA",IF(G38&lt;=Assumptions!$B$16,"GREEN",IF(G38&lt;=Assumptions!$C$16,"WATCH",IF(G38&lt;=Assumptions!$D$16,"YELLOW",IF(G38&lt;=Assumptions!$E$16,"ORANGE","RED")))))</f>
        <v/>
      </c>
      <c r="I38" s="103">
        <f>IF(OR(G38="",G35=""),"",G38-G35)</f>
        <v/>
      </c>
      <c r="J38" s="88" t="n"/>
      <c r="K38" s="63">
        <f>COUNTIFS('Hardware Deliveries'!$A$5:$A$56,1,'Hardware Deliveries'!$F$5:$F$56,"&lt;="&amp;A38,'Hardware Deliveries'!$G$5:$G$56,"&gt;="&amp;A38)</f>
        <v/>
      </c>
      <c r="L38" s="63">
        <f>COUNTIFS('Power Deliveries'!$A$5:$A$55,1,'Power Deliveries'!$E$5:$E$55,"&lt;="&amp;A38,'Power Deliveries'!$F$5:$F$55,"&gt;="&amp;A38)</f>
        <v/>
      </c>
    </row>
    <row r="39">
      <c r="A39" s="94" t="n">
        <v>47058</v>
      </c>
      <c r="B39" s="108">
        <f>SUMIFS('Hardware Deliveries'!$M$5:$M$56,'Hardware Deliveries'!$A$5:$A$56,1,'Hardware Deliveries'!$F$5:$F$56,"&lt;="&amp;A39,'Hardware Deliveries'!$G$5:$G$56,"&gt;="&amp;A39)</f>
        <v/>
      </c>
      <c r="C39" s="108">
        <f>SUMIFS('Power Deliveries'!$M$5:$M$55,'Power Deliveries'!$A$5:$A$55,1,'Power Deliveries'!$E$5:$E$55,"&lt;="&amp;A39,'Power Deliveries'!$F$5:$F$55,"&gt;="&amp;A39)</f>
        <v/>
      </c>
      <c r="D39" s="108">
        <f>B39-C39</f>
        <v/>
      </c>
      <c r="E39" s="108">
        <f>SUM(B39:B40)</f>
        <v/>
      </c>
      <c r="F39" s="108">
        <f>SUM(C39:C40)</f>
        <v/>
      </c>
      <c r="G39" s="103">
        <f>IF(OR(K39=0,L39=0),"",E39/F39)</f>
        <v/>
      </c>
      <c r="H39" s="95">
        <f>IF(G39="","NO DATA",IF(G39&lt;=Assumptions!$B$16,"GREEN",IF(G39&lt;=Assumptions!$C$16,"WATCH",IF(G39&lt;=Assumptions!$D$16,"YELLOW",IF(G39&lt;=Assumptions!$E$16,"ORANGE","RED")))))</f>
        <v/>
      </c>
      <c r="I39" s="103">
        <f>IF(OR(G39="",G36=""),"",G39-G36)</f>
        <v/>
      </c>
      <c r="J39" s="88" t="n"/>
      <c r="K39" s="63">
        <f>COUNTIFS('Hardware Deliveries'!$A$5:$A$56,1,'Hardware Deliveries'!$F$5:$F$56,"&lt;="&amp;A39,'Hardware Deliveries'!$G$5:$G$56,"&gt;="&amp;A39)</f>
        <v/>
      </c>
      <c r="L39" s="63">
        <f>COUNTIFS('Power Deliveries'!$A$5:$A$55,1,'Power Deliveries'!$E$5:$E$55,"&lt;="&amp;A39,'Power Deliveries'!$F$5:$F$55,"&gt;="&amp;A39)</f>
        <v/>
      </c>
    </row>
    <row r="40">
      <c r="A40" s="94" t="n">
        <v>47088</v>
      </c>
      <c r="B40" s="108">
        <f>SUMIFS('Hardware Deliveries'!$M$5:$M$56,'Hardware Deliveries'!$A$5:$A$56,1,'Hardware Deliveries'!$F$5:$F$56,"&lt;="&amp;A40,'Hardware Deliveries'!$G$5:$G$56,"&gt;="&amp;A40)</f>
        <v/>
      </c>
      <c r="C40" s="108">
        <f>SUMIFS('Power Deliveries'!$M$5:$M$55,'Power Deliveries'!$A$5:$A$55,1,'Power Deliveries'!$E$5:$E$55,"&lt;="&amp;A40,'Power Deliveries'!$F$5:$F$55,"&gt;="&amp;A40)</f>
        <v/>
      </c>
      <c r="D40" s="108">
        <f>B40-C40</f>
        <v/>
      </c>
      <c r="E40" s="108">
        <f>SUM(B40:B40)</f>
        <v/>
      </c>
      <c r="F40" s="108">
        <f>SUM(C40:C40)</f>
        <v/>
      </c>
      <c r="G40" s="103">
        <f>IF(OR(K40=0,L40=0),"",E40/F40)</f>
        <v/>
      </c>
      <c r="H40" s="95">
        <f>IF(G40="","NO DATA",IF(G40&lt;=Assumptions!$B$16,"GREEN",IF(G40&lt;=Assumptions!$C$16,"WATCH",IF(G40&lt;=Assumptions!$D$16,"YELLOW",IF(G40&lt;=Assumptions!$E$16,"ORANGE","RED")))))</f>
        <v/>
      </c>
      <c r="I40" s="103">
        <f>IF(OR(G40="",G37=""),"",G40-G37)</f>
        <v/>
      </c>
      <c r="J40" s="88" t="n"/>
      <c r="K40" s="63">
        <f>COUNTIFS('Hardware Deliveries'!$A$5:$A$56,1,'Hardware Deliveries'!$F$5:$F$56,"&lt;="&amp;A40,'Hardware Deliveries'!$G$5:$G$56,"&gt;="&amp;A40)</f>
        <v/>
      </c>
      <c r="L40" s="63">
        <f>COUNTIFS('Power Deliveries'!$A$5:$A$55,1,'Power Deliveries'!$E$5:$E$55,"&lt;="&amp;A40,'Power Deliveries'!$F$5:$F$55,"&gt;="&amp;A40)</f>
        <v/>
      </c>
    </row>
  </sheetData>
  <mergeCells count="2">
    <mergeCell ref="A2:L2"/>
    <mergeCell ref="A1:L1"/>
  </mergeCells>
  <conditionalFormatting sqref="H5">
    <cfRule type="expression" priority="1" dxfId="0">
      <formula>H5="GREEN"</formula>
    </cfRule>
    <cfRule type="expression" priority="2" dxfId="1">
      <formula>H5="WATCH"</formula>
    </cfRule>
    <cfRule type="expression" priority="3" dxfId="2">
      <formula>H5="YELLOW"</formula>
    </cfRule>
    <cfRule type="expression" priority="4" dxfId="3">
      <formula>H5="ORANGE"</formula>
    </cfRule>
    <cfRule type="expression" priority="5" dxfId="4">
      <formula>H5="RED"</formula>
    </cfRule>
  </conditionalFormatting>
  <conditionalFormatting sqref="H6">
    <cfRule type="expression" priority="6" dxfId="0">
      <formula>H6="GREEN"</formula>
    </cfRule>
    <cfRule type="expression" priority="7" dxfId="1">
      <formula>H6="WATCH"</formula>
    </cfRule>
    <cfRule type="expression" priority="8" dxfId="2">
      <formula>H6="YELLOW"</formula>
    </cfRule>
    <cfRule type="expression" priority="9" dxfId="3">
      <formula>H6="ORANGE"</formula>
    </cfRule>
    <cfRule type="expression" priority="10" dxfId="4">
      <formula>H6="RED"</formula>
    </cfRule>
  </conditionalFormatting>
  <conditionalFormatting sqref="H7">
    <cfRule type="expression" priority="11" dxfId="0">
      <formula>H7="GREEN"</formula>
    </cfRule>
    <cfRule type="expression" priority="12" dxfId="1">
      <formula>H7="WATCH"</formula>
    </cfRule>
    <cfRule type="expression" priority="13" dxfId="2">
      <formula>H7="YELLOW"</formula>
    </cfRule>
    <cfRule type="expression" priority="14" dxfId="3">
      <formula>H7="ORANGE"</formula>
    </cfRule>
    <cfRule type="expression" priority="15" dxfId="4">
      <formula>H7="RED"</formula>
    </cfRule>
  </conditionalFormatting>
  <conditionalFormatting sqref="H8">
    <cfRule type="expression" priority="16" dxfId="0">
      <formula>H8="GREEN"</formula>
    </cfRule>
    <cfRule type="expression" priority="17" dxfId="1">
      <formula>H8="WATCH"</formula>
    </cfRule>
    <cfRule type="expression" priority="18" dxfId="2">
      <formula>H8="YELLOW"</formula>
    </cfRule>
    <cfRule type="expression" priority="19" dxfId="3">
      <formula>H8="ORANGE"</formula>
    </cfRule>
    <cfRule type="expression" priority="20" dxfId="4">
      <formula>H8="RED"</formula>
    </cfRule>
  </conditionalFormatting>
  <conditionalFormatting sqref="H9">
    <cfRule type="expression" priority="21" dxfId="0">
      <formula>H9="GREEN"</formula>
    </cfRule>
    <cfRule type="expression" priority="22" dxfId="1">
      <formula>H9="WATCH"</formula>
    </cfRule>
    <cfRule type="expression" priority="23" dxfId="2">
      <formula>H9="YELLOW"</formula>
    </cfRule>
    <cfRule type="expression" priority="24" dxfId="3">
      <formula>H9="ORANGE"</formula>
    </cfRule>
    <cfRule type="expression" priority="25" dxfId="4">
      <formula>H9="RED"</formula>
    </cfRule>
  </conditionalFormatting>
  <conditionalFormatting sqref="H10">
    <cfRule type="expression" priority="26" dxfId="0">
      <formula>H10="GREEN"</formula>
    </cfRule>
    <cfRule type="expression" priority="27" dxfId="1">
      <formula>H10="WATCH"</formula>
    </cfRule>
    <cfRule type="expression" priority="28" dxfId="2">
      <formula>H10="YELLOW"</formula>
    </cfRule>
    <cfRule type="expression" priority="29" dxfId="3">
      <formula>H10="ORANGE"</formula>
    </cfRule>
    <cfRule type="expression" priority="30" dxfId="4">
      <formula>H10="RED"</formula>
    </cfRule>
  </conditionalFormatting>
  <conditionalFormatting sqref="H11">
    <cfRule type="expression" priority="31" dxfId="0">
      <formula>H11="GREEN"</formula>
    </cfRule>
    <cfRule type="expression" priority="32" dxfId="1">
      <formula>H11="WATCH"</formula>
    </cfRule>
    <cfRule type="expression" priority="33" dxfId="2">
      <formula>H11="YELLOW"</formula>
    </cfRule>
    <cfRule type="expression" priority="34" dxfId="3">
      <formula>H11="ORANGE"</formula>
    </cfRule>
    <cfRule type="expression" priority="35" dxfId="4">
      <formula>H11="RED"</formula>
    </cfRule>
  </conditionalFormatting>
  <conditionalFormatting sqref="H12">
    <cfRule type="expression" priority="36" dxfId="0">
      <formula>H12="GREEN"</formula>
    </cfRule>
    <cfRule type="expression" priority="37" dxfId="1">
      <formula>H12="WATCH"</formula>
    </cfRule>
    <cfRule type="expression" priority="38" dxfId="2">
      <formula>H12="YELLOW"</formula>
    </cfRule>
    <cfRule type="expression" priority="39" dxfId="3">
      <formula>H12="ORANGE"</formula>
    </cfRule>
    <cfRule type="expression" priority="40" dxfId="4">
      <formula>H12="RED"</formula>
    </cfRule>
  </conditionalFormatting>
  <conditionalFormatting sqref="H13">
    <cfRule type="expression" priority="41" dxfId="0">
      <formula>H13="GREEN"</formula>
    </cfRule>
    <cfRule type="expression" priority="42" dxfId="1">
      <formula>H13="WATCH"</formula>
    </cfRule>
    <cfRule type="expression" priority="43" dxfId="2">
      <formula>H13="YELLOW"</formula>
    </cfRule>
    <cfRule type="expression" priority="44" dxfId="3">
      <formula>H13="ORANGE"</formula>
    </cfRule>
    <cfRule type="expression" priority="45" dxfId="4">
      <formula>H13="RED"</formula>
    </cfRule>
  </conditionalFormatting>
  <conditionalFormatting sqref="H14">
    <cfRule type="expression" priority="46" dxfId="0">
      <formula>H14="GREEN"</formula>
    </cfRule>
    <cfRule type="expression" priority="47" dxfId="1">
      <formula>H14="WATCH"</formula>
    </cfRule>
    <cfRule type="expression" priority="48" dxfId="2">
      <formula>H14="YELLOW"</formula>
    </cfRule>
    <cfRule type="expression" priority="49" dxfId="3">
      <formula>H14="ORANGE"</formula>
    </cfRule>
    <cfRule type="expression" priority="50" dxfId="4">
      <formula>H14="RED"</formula>
    </cfRule>
  </conditionalFormatting>
  <conditionalFormatting sqref="H15">
    <cfRule type="expression" priority="51" dxfId="0">
      <formula>H15="GREEN"</formula>
    </cfRule>
    <cfRule type="expression" priority="52" dxfId="1">
      <formula>H15="WATCH"</formula>
    </cfRule>
    <cfRule type="expression" priority="53" dxfId="2">
      <formula>H15="YELLOW"</formula>
    </cfRule>
    <cfRule type="expression" priority="54" dxfId="3">
      <formula>H15="ORANGE"</formula>
    </cfRule>
    <cfRule type="expression" priority="55" dxfId="4">
      <formula>H15="RED"</formula>
    </cfRule>
  </conditionalFormatting>
  <conditionalFormatting sqref="H16">
    <cfRule type="expression" priority="56" dxfId="0">
      <formula>H16="GREEN"</formula>
    </cfRule>
    <cfRule type="expression" priority="57" dxfId="1">
      <formula>H16="WATCH"</formula>
    </cfRule>
    <cfRule type="expression" priority="58" dxfId="2">
      <formula>H16="YELLOW"</formula>
    </cfRule>
    <cfRule type="expression" priority="59" dxfId="3">
      <formula>H16="ORANGE"</formula>
    </cfRule>
    <cfRule type="expression" priority="60" dxfId="4">
      <formula>H16="RED"</formula>
    </cfRule>
  </conditionalFormatting>
  <conditionalFormatting sqref="H17">
    <cfRule type="expression" priority="61" dxfId="0">
      <formula>H17="GREEN"</formula>
    </cfRule>
    <cfRule type="expression" priority="62" dxfId="1">
      <formula>H17="WATCH"</formula>
    </cfRule>
    <cfRule type="expression" priority="63" dxfId="2">
      <formula>H17="YELLOW"</formula>
    </cfRule>
    <cfRule type="expression" priority="64" dxfId="3">
      <formula>H17="ORANGE"</formula>
    </cfRule>
    <cfRule type="expression" priority="65" dxfId="4">
      <formula>H17="RED"</formula>
    </cfRule>
  </conditionalFormatting>
  <conditionalFormatting sqref="H18">
    <cfRule type="expression" priority="66" dxfId="0">
      <formula>H18="GREEN"</formula>
    </cfRule>
    <cfRule type="expression" priority="67" dxfId="1">
      <formula>H18="WATCH"</formula>
    </cfRule>
    <cfRule type="expression" priority="68" dxfId="2">
      <formula>H18="YELLOW"</formula>
    </cfRule>
    <cfRule type="expression" priority="69" dxfId="3">
      <formula>H18="ORANGE"</formula>
    </cfRule>
    <cfRule type="expression" priority="70" dxfId="4">
      <formula>H18="RED"</formula>
    </cfRule>
  </conditionalFormatting>
  <conditionalFormatting sqref="H19">
    <cfRule type="expression" priority="71" dxfId="0">
      <formula>H19="GREEN"</formula>
    </cfRule>
    <cfRule type="expression" priority="72" dxfId="1">
      <formula>H19="WATCH"</formula>
    </cfRule>
    <cfRule type="expression" priority="73" dxfId="2">
      <formula>H19="YELLOW"</formula>
    </cfRule>
    <cfRule type="expression" priority="74" dxfId="3">
      <formula>H19="ORANGE"</formula>
    </cfRule>
    <cfRule type="expression" priority="75" dxfId="4">
      <formula>H19="RED"</formula>
    </cfRule>
  </conditionalFormatting>
  <conditionalFormatting sqref="H20">
    <cfRule type="expression" priority="76" dxfId="0">
      <formula>H20="GREEN"</formula>
    </cfRule>
    <cfRule type="expression" priority="77" dxfId="1">
      <formula>H20="WATCH"</formula>
    </cfRule>
    <cfRule type="expression" priority="78" dxfId="2">
      <formula>H20="YELLOW"</formula>
    </cfRule>
    <cfRule type="expression" priority="79" dxfId="3">
      <formula>H20="ORANGE"</formula>
    </cfRule>
    <cfRule type="expression" priority="80" dxfId="4">
      <formula>H20="RED"</formula>
    </cfRule>
  </conditionalFormatting>
  <conditionalFormatting sqref="H21">
    <cfRule type="expression" priority="81" dxfId="0">
      <formula>H21="GREEN"</formula>
    </cfRule>
    <cfRule type="expression" priority="82" dxfId="1">
      <formula>H21="WATCH"</formula>
    </cfRule>
    <cfRule type="expression" priority="83" dxfId="2">
      <formula>H21="YELLOW"</formula>
    </cfRule>
    <cfRule type="expression" priority="84" dxfId="3">
      <formula>H21="ORANGE"</formula>
    </cfRule>
    <cfRule type="expression" priority="85" dxfId="4">
      <formula>H21="RED"</formula>
    </cfRule>
  </conditionalFormatting>
  <conditionalFormatting sqref="H22">
    <cfRule type="expression" priority="86" dxfId="0">
      <formula>H22="GREEN"</formula>
    </cfRule>
    <cfRule type="expression" priority="87" dxfId="1">
      <formula>H22="WATCH"</formula>
    </cfRule>
    <cfRule type="expression" priority="88" dxfId="2">
      <formula>H22="YELLOW"</formula>
    </cfRule>
    <cfRule type="expression" priority="89" dxfId="3">
      <formula>H22="ORANGE"</formula>
    </cfRule>
    <cfRule type="expression" priority="90" dxfId="4">
      <formula>H22="RED"</formula>
    </cfRule>
  </conditionalFormatting>
  <conditionalFormatting sqref="H23">
    <cfRule type="expression" priority="91" dxfId="0">
      <formula>H23="GREEN"</formula>
    </cfRule>
    <cfRule type="expression" priority="92" dxfId="1">
      <formula>H23="WATCH"</formula>
    </cfRule>
    <cfRule type="expression" priority="93" dxfId="2">
      <formula>H23="YELLOW"</formula>
    </cfRule>
    <cfRule type="expression" priority="94" dxfId="3">
      <formula>H23="ORANGE"</formula>
    </cfRule>
    <cfRule type="expression" priority="95" dxfId="4">
      <formula>H23="RED"</formula>
    </cfRule>
  </conditionalFormatting>
  <conditionalFormatting sqref="H24">
    <cfRule type="expression" priority="96" dxfId="0">
      <formula>H24="GREEN"</formula>
    </cfRule>
    <cfRule type="expression" priority="97" dxfId="1">
      <formula>H24="WATCH"</formula>
    </cfRule>
    <cfRule type="expression" priority="98" dxfId="2">
      <formula>H24="YELLOW"</formula>
    </cfRule>
    <cfRule type="expression" priority="99" dxfId="3">
      <formula>H24="ORANGE"</formula>
    </cfRule>
    <cfRule type="expression" priority="100" dxfId="4">
      <formula>H24="RED"</formula>
    </cfRule>
  </conditionalFormatting>
  <conditionalFormatting sqref="H25">
    <cfRule type="expression" priority="101" dxfId="0">
      <formula>H25="GREEN"</formula>
    </cfRule>
    <cfRule type="expression" priority="102" dxfId="1">
      <formula>H25="WATCH"</formula>
    </cfRule>
    <cfRule type="expression" priority="103" dxfId="2">
      <formula>H25="YELLOW"</formula>
    </cfRule>
    <cfRule type="expression" priority="104" dxfId="3">
      <formula>H25="ORANGE"</formula>
    </cfRule>
    <cfRule type="expression" priority="105" dxfId="4">
      <formula>H25="RED"</formula>
    </cfRule>
  </conditionalFormatting>
  <conditionalFormatting sqref="H26">
    <cfRule type="expression" priority="106" dxfId="0">
      <formula>H26="GREEN"</formula>
    </cfRule>
    <cfRule type="expression" priority="107" dxfId="1">
      <formula>H26="WATCH"</formula>
    </cfRule>
    <cfRule type="expression" priority="108" dxfId="2">
      <formula>H26="YELLOW"</formula>
    </cfRule>
    <cfRule type="expression" priority="109" dxfId="3">
      <formula>H26="ORANGE"</formula>
    </cfRule>
    <cfRule type="expression" priority="110" dxfId="4">
      <formula>H26="RED"</formula>
    </cfRule>
  </conditionalFormatting>
  <conditionalFormatting sqref="H27">
    <cfRule type="expression" priority="111" dxfId="0">
      <formula>H27="GREEN"</formula>
    </cfRule>
    <cfRule type="expression" priority="112" dxfId="1">
      <formula>H27="WATCH"</formula>
    </cfRule>
    <cfRule type="expression" priority="113" dxfId="2">
      <formula>H27="YELLOW"</formula>
    </cfRule>
    <cfRule type="expression" priority="114" dxfId="3">
      <formula>H27="ORANGE"</formula>
    </cfRule>
    <cfRule type="expression" priority="115" dxfId="4">
      <formula>H27="RED"</formula>
    </cfRule>
  </conditionalFormatting>
  <conditionalFormatting sqref="H28">
    <cfRule type="expression" priority="116" dxfId="0">
      <formula>H28="GREEN"</formula>
    </cfRule>
    <cfRule type="expression" priority="117" dxfId="1">
      <formula>H28="WATCH"</formula>
    </cfRule>
    <cfRule type="expression" priority="118" dxfId="2">
      <formula>H28="YELLOW"</formula>
    </cfRule>
    <cfRule type="expression" priority="119" dxfId="3">
      <formula>H28="ORANGE"</formula>
    </cfRule>
    <cfRule type="expression" priority="120" dxfId="4">
      <formula>H28="RED"</formula>
    </cfRule>
  </conditionalFormatting>
  <conditionalFormatting sqref="H29">
    <cfRule type="expression" priority="121" dxfId="0">
      <formula>H29="GREEN"</formula>
    </cfRule>
    <cfRule type="expression" priority="122" dxfId="1">
      <formula>H29="WATCH"</formula>
    </cfRule>
    <cfRule type="expression" priority="123" dxfId="2">
      <formula>H29="YELLOW"</formula>
    </cfRule>
    <cfRule type="expression" priority="124" dxfId="3">
      <formula>H29="ORANGE"</formula>
    </cfRule>
    <cfRule type="expression" priority="125" dxfId="4">
      <formula>H29="RED"</formula>
    </cfRule>
  </conditionalFormatting>
  <conditionalFormatting sqref="H30">
    <cfRule type="expression" priority="126" dxfId="0">
      <formula>H30="GREEN"</formula>
    </cfRule>
    <cfRule type="expression" priority="127" dxfId="1">
      <formula>H30="WATCH"</formula>
    </cfRule>
    <cfRule type="expression" priority="128" dxfId="2">
      <formula>H30="YELLOW"</formula>
    </cfRule>
    <cfRule type="expression" priority="129" dxfId="3">
      <formula>H30="ORANGE"</formula>
    </cfRule>
    <cfRule type="expression" priority="130" dxfId="4">
      <formula>H30="RED"</formula>
    </cfRule>
  </conditionalFormatting>
  <conditionalFormatting sqref="H31">
    <cfRule type="expression" priority="131" dxfId="0">
      <formula>H31="GREEN"</formula>
    </cfRule>
    <cfRule type="expression" priority="132" dxfId="1">
      <formula>H31="WATCH"</formula>
    </cfRule>
    <cfRule type="expression" priority="133" dxfId="2">
      <formula>H31="YELLOW"</formula>
    </cfRule>
    <cfRule type="expression" priority="134" dxfId="3">
      <formula>H31="ORANGE"</formula>
    </cfRule>
    <cfRule type="expression" priority="135" dxfId="4">
      <formula>H31="RED"</formula>
    </cfRule>
  </conditionalFormatting>
  <conditionalFormatting sqref="H32">
    <cfRule type="expression" priority="136" dxfId="0">
      <formula>H32="GREEN"</formula>
    </cfRule>
    <cfRule type="expression" priority="137" dxfId="1">
      <formula>H32="WATCH"</formula>
    </cfRule>
    <cfRule type="expression" priority="138" dxfId="2">
      <formula>H32="YELLOW"</formula>
    </cfRule>
    <cfRule type="expression" priority="139" dxfId="3">
      <formula>H32="ORANGE"</formula>
    </cfRule>
    <cfRule type="expression" priority="140" dxfId="4">
      <formula>H32="RED"</formula>
    </cfRule>
  </conditionalFormatting>
  <conditionalFormatting sqref="H33">
    <cfRule type="expression" priority="141" dxfId="0">
      <formula>H33="GREEN"</formula>
    </cfRule>
    <cfRule type="expression" priority="142" dxfId="1">
      <formula>H33="WATCH"</formula>
    </cfRule>
    <cfRule type="expression" priority="143" dxfId="2">
      <formula>H33="YELLOW"</formula>
    </cfRule>
    <cfRule type="expression" priority="144" dxfId="3">
      <formula>H33="ORANGE"</formula>
    </cfRule>
    <cfRule type="expression" priority="145" dxfId="4">
      <formula>H33="RED"</formula>
    </cfRule>
  </conditionalFormatting>
  <conditionalFormatting sqref="H34">
    <cfRule type="expression" priority="146" dxfId="0">
      <formula>H34="GREEN"</formula>
    </cfRule>
    <cfRule type="expression" priority="147" dxfId="1">
      <formula>H34="WATCH"</formula>
    </cfRule>
    <cfRule type="expression" priority="148" dxfId="2">
      <formula>H34="YELLOW"</formula>
    </cfRule>
    <cfRule type="expression" priority="149" dxfId="3">
      <formula>H34="ORANGE"</formula>
    </cfRule>
    <cfRule type="expression" priority="150" dxfId="4">
      <formula>H34="RED"</formula>
    </cfRule>
  </conditionalFormatting>
  <conditionalFormatting sqref="H35">
    <cfRule type="expression" priority="151" dxfId="0">
      <formula>H35="GREEN"</formula>
    </cfRule>
    <cfRule type="expression" priority="152" dxfId="1">
      <formula>H35="WATCH"</formula>
    </cfRule>
    <cfRule type="expression" priority="153" dxfId="2">
      <formula>H35="YELLOW"</formula>
    </cfRule>
    <cfRule type="expression" priority="154" dxfId="3">
      <formula>H35="ORANGE"</formula>
    </cfRule>
    <cfRule type="expression" priority="155" dxfId="4">
      <formula>H35="RED"</formula>
    </cfRule>
  </conditionalFormatting>
  <conditionalFormatting sqref="H36">
    <cfRule type="expression" priority="156" dxfId="0">
      <formula>H36="GREEN"</formula>
    </cfRule>
    <cfRule type="expression" priority="157" dxfId="1">
      <formula>H36="WATCH"</formula>
    </cfRule>
    <cfRule type="expression" priority="158" dxfId="2">
      <formula>H36="YELLOW"</formula>
    </cfRule>
    <cfRule type="expression" priority="159" dxfId="3">
      <formula>H36="ORANGE"</formula>
    </cfRule>
    <cfRule type="expression" priority="160" dxfId="4">
      <formula>H36="RED"</formula>
    </cfRule>
  </conditionalFormatting>
  <conditionalFormatting sqref="H37">
    <cfRule type="expression" priority="161" dxfId="0">
      <formula>H37="GREEN"</formula>
    </cfRule>
    <cfRule type="expression" priority="162" dxfId="1">
      <formula>H37="WATCH"</formula>
    </cfRule>
    <cfRule type="expression" priority="163" dxfId="2">
      <formula>H37="YELLOW"</formula>
    </cfRule>
    <cfRule type="expression" priority="164" dxfId="3">
      <formula>H37="ORANGE"</formula>
    </cfRule>
    <cfRule type="expression" priority="165" dxfId="4">
      <formula>H37="RED"</formula>
    </cfRule>
  </conditionalFormatting>
  <conditionalFormatting sqref="H38">
    <cfRule type="expression" priority="166" dxfId="0">
      <formula>H38="GREEN"</formula>
    </cfRule>
    <cfRule type="expression" priority="167" dxfId="1">
      <formula>H38="WATCH"</formula>
    </cfRule>
    <cfRule type="expression" priority="168" dxfId="2">
      <formula>H38="YELLOW"</formula>
    </cfRule>
    <cfRule type="expression" priority="169" dxfId="3">
      <formula>H38="ORANGE"</formula>
    </cfRule>
    <cfRule type="expression" priority="170" dxfId="4">
      <formula>H38="RED"</formula>
    </cfRule>
  </conditionalFormatting>
  <conditionalFormatting sqref="H39">
    <cfRule type="expression" priority="171" dxfId="0">
      <formula>H39="GREEN"</formula>
    </cfRule>
    <cfRule type="expression" priority="172" dxfId="1">
      <formula>H39="WATCH"</formula>
    </cfRule>
    <cfRule type="expression" priority="173" dxfId="2">
      <formula>H39="YELLOW"</formula>
    </cfRule>
    <cfRule type="expression" priority="174" dxfId="3">
      <formula>H39="ORANGE"</formula>
    </cfRule>
    <cfRule type="expression" priority="175" dxfId="4">
      <formula>H39="RED"</formula>
    </cfRule>
  </conditionalFormatting>
  <conditionalFormatting sqref="H40">
    <cfRule type="expression" priority="176" dxfId="0">
      <formula>H40="GREEN"</formula>
    </cfRule>
    <cfRule type="expression" priority="177" dxfId="1">
      <formula>H40="WATCH"</formula>
    </cfRule>
    <cfRule type="expression" priority="178" dxfId="2">
      <formula>H40="YELLOW"</formula>
    </cfRule>
    <cfRule type="expression" priority="179" dxfId="3">
      <formula>H40="ORANGE"</formula>
    </cfRule>
    <cfRule type="expression" priority="180" dxfId="4">
      <formula>H40="RED"</formula>
    </cfRule>
  </conditionalFormatting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48" customWidth="1" min="4" max="4"/>
    <col width="44" customWidth="1" min="5" max="5"/>
    <col width="13" customWidth="1" min="6" max="6"/>
    <col width="16" customWidth="1" min="7" max="7"/>
    <col width="14" customWidth="1" min="8" max="8"/>
    <col width="14" customWidth="1" min="9" max="9"/>
    <col width="14" customWidth="1" min="10" max="10"/>
    <col width="13" customWidth="1" min="11" max="11"/>
    <col width="16" customWidth="1" min="12" max="12"/>
    <col width="18" customWidth="1" min="13" max="13"/>
    <col width="48" customWidth="1" min="14" max="14"/>
    <col width="48" customWidth="1" min="15" max="15"/>
    <col width="48" customWidth="1" min="16" max="16"/>
  </cols>
  <sheetData>
    <row r="1" ht="26" customHeight="1">
      <c r="A1" s="56" t="inlineStr">
        <is>
          <t>2026 Sell-Side Backtest: Hardware Delivery vs Power Constraint</t>
        </is>
      </c>
    </row>
    <row r="2" ht="30" customHeight="1">
      <c r="A2" s="57" t="inlineStr">
        <is>
          <t>The sell signal is convergence: physical slippage + build-throughput gap + accelerating chip revenue + accelerating server deliveries + system-level intervention. Peak reference: SOXX Jun 22, 2026 close 655.01 / intraday high 655.95.</t>
        </is>
      </c>
    </row>
    <row r="4" ht="34" customHeight="1">
      <c r="A4" s="79" t="inlineStr">
        <is>
          <t>Date</t>
        </is>
      </c>
      <c r="B4" s="79" t="inlineStr">
        <is>
          <t>Source / company</t>
        </is>
      </c>
      <c r="C4" s="79" t="inlineStr">
        <is>
          <t>Category</t>
        </is>
      </c>
      <c r="D4" s="79" t="inlineStr">
        <is>
          <t>Signal</t>
        </is>
      </c>
      <c r="E4" s="79" t="inlineStr">
        <is>
          <t>Metric</t>
        </is>
      </c>
      <c r="F4" s="79" t="inlineStr">
        <is>
          <t>Category flag</t>
        </is>
      </c>
      <c r="G4" s="79" t="inlineStr">
        <is>
          <t>Cumulative sell score</t>
        </is>
      </c>
      <c r="H4" s="79" t="inlineStr">
        <is>
          <t>SOXX close</t>
        </is>
      </c>
      <c r="I4" s="79" t="inlineStr">
        <is>
          <t>Peak date</t>
        </is>
      </c>
      <c r="J4" s="79" t="inlineStr">
        <is>
          <t>Peak close</t>
        </is>
      </c>
      <c r="K4" s="79" t="inlineStr">
        <is>
          <t>Days to peak</t>
        </is>
      </c>
      <c r="L4" s="79" t="inlineStr">
        <is>
          <t>Upside left to peak</t>
        </is>
      </c>
      <c r="M4" s="79" t="inlineStr">
        <is>
          <t>30d post-peak drawdown</t>
        </is>
      </c>
      <c r="N4" s="79" t="inlineStr">
        <is>
          <t>Read</t>
        </is>
      </c>
      <c r="O4" s="79" t="inlineStr">
        <is>
          <t>Source URL</t>
        </is>
      </c>
      <c r="P4" s="79" t="inlineStr">
        <is>
          <t>Notes</t>
        </is>
      </c>
    </row>
    <row r="5">
      <c r="A5" s="109" t="n">
        <v>46146</v>
      </c>
      <c r="B5" s="97" t="inlineStr">
        <is>
          <t>J.P. Morgan</t>
        </is>
      </c>
      <c r="C5" s="97" t="inlineStr">
        <is>
          <t>Power / construction slippage</t>
        </is>
      </c>
      <c r="D5" s="97" t="inlineStr">
        <is>
          <t>Satellite-based build update showed severe schedule slippage</t>
        </is>
      </c>
      <c r="E5" s="97" t="inlineStr">
        <is>
          <t>&gt;60% of 2027 capacity not started; another 7% delayed</t>
        </is>
      </c>
      <c r="F5" s="55" t="n">
        <v>1</v>
      </c>
      <c r="G5" s="55" t="n">
        <v>1</v>
      </c>
      <c r="H5" s="97" t="n">
        <v>462.06</v>
      </c>
      <c r="I5" s="109" t="n">
        <v>46195</v>
      </c>
      <c r="J5" s="97" t="n">
        <v>655.01</v>
      </c>
      <c r="K5" s="98">
        <f>I5-A5</f>
        <v/>
      </c>
      <c r="L5" s="99">
        <f>J5/H5-1</f>
        <v/>
      </c>
      <c r="M5" s="84" t="inlineStr"/>
      <c r="N5" s="97" t="inlineStr">
        <is>
          <t>Yellow: physical delivery clock is slipping before chip demand breaks</t>
        </is>
      </c>
      <c r="O5" s="92" t="inlineStr">
        <is>
          <t>https://cdn.jpmorganfunds.com/content/dam/jpm-am-aem/global/en/insights/eye-on-the-market/abandon-ship-amv.pdf</t>
        </is>
      </c>
      <c r="P5" s="97" t="inlineStr">
        <is>
          <t>Permitting, gas turbines, transformers and skilled labor cited.</t>
        </is>
      </c>
    </row>
    <row r="6">
      <c r="A6" s="109" t="n">
        <v>46147</v>
      </c>
      <c r="B6" s="97" t="inlineStr">
        <is>
          <t>Eaton</t>
        </is>
      </c>
      <c r="C6" s="97" t="inlineStr">
        <is>
          <t>Build-throughput gap</t>
        </is>
      </c>
      <c r="D6" s="97" t="inlineStr">
        <is>
          <t>Industry build pipeline vastly exceeds active construction</t>
        </is>
      </c>
      <c r="E6" s="97" t="inlineStr">
        <is>
          <t>32 GW under construction; 70% AI; 228 GW backlog / ~12 years at 2025 build rate</t>
        </is>
      </c>
      <c r="F6" s="55" t="n">
        <v>1</v>
      </c>
      <c r="G6" s="55" t="n">
        <v>2</v>
      </c>
      <c r="H6" s="97" t="n">
        <v>482.73</v>
      </c>
      <c r="I6" s="109" t="n">
        <v>46195</v>
      </c>
      <c r="J6" s="97" t="n">
        <v>655.01</v>
      </c>
      <c r="K6" s="98">
        <f>I6-A6</f>
        <v/>
      </c>
      <c r="L6" s="99">
        <f>J6/H6-1</f>
        <v/>
      </c>
      <c r="M6" s="84" t="inlineStr"/>
      <c r="N6" s="97" t="inlineStr">
        <is>
          <t>Yellow+: denominator cannot keep pace with stated pipeline</t>
        </is>
      </c>
      <c r="O6" s="92" t="inlineStr">
        <is>
          <t>https://www.eaton.com/us/en-us/company/investor-relations/financial-presentations-webcasts.html</t>
        </is>
      </c>
      <c r="P6" s="97" t="inlineStr">
        <is>
          <t>The 32/228 GW figures are from management’s Q1 earnings call / presentation.</t>
        </is>
      </c>
    </row>
    <row r="7">
      <c r="A7" s="109" t="n">
        <v>46162</v>
      </c>
      <c r="B7" s="97" t="inlineStr">
        <is>
          <t>NVIDIA</t>
        </is>
      </c>
      <c r="C7" s="97" t="inlineStr">
        <is>
          <t>Chip revenue acceleration</t>
        </is>
      </c>
      <c r="D7" s="97" t="inlineStr">
        <is>
          <t>Silicon revenue is now accelerating into a constrained physical build</t>
        </is>
      </c>
      <c r="E7" s="97" t="inlineStr">
        <is>
          <t>$75.2B Data Center revenue; +92% YoY</t>
        </is>
      </c>
      <c r="F7" s="55" t="n">
        <v>1</v>
      </c>
      <c r="G7" s="55" t="n">
        <v>3</v>
      </c>
      <c r="H7" s="97" t="n">
        <v>520.3099999999999</v>
      </c>
      <c r="I7" s="109" t="n">
        <v>46195</v>
      </c>
      <c r="J7" s="97" t="n">
        <v>655.01</v>
      </c>
      <c r="K7" s="98">
        <f>I7-A7</f>
        <v/>
      </c>
      <c r="L7" s="99">
        <f>J7/H7-1</f>
        <v/>
      </c>
      <c r="M7" s="84" t="inlineStr"/>
      <c r="N7" s="97" t="inlineStr">
        <is>
          <t>Orange watch: numerator accelerates while power/build warnings remain unresolved</t>
        </is>
      </c>
      <c r="O7" s="92" t="inlineStr">
        <is>
          <t>https://investor.nvidia.com/news/press-release-details/2026/NVIDIA-Announces-Financial-Results-for-First-Quarter-Fiscal-2027/default.aspx</t>
        </is>
      </c>
      <c r="P7" s="97" t="inlineStr">
        <is>
          <t>Hardware monetization confirmation.</t>
        </is>
      </c>
    </row>
    <row r="8">
      <c r="A8" s="109" t="n">
        <v>46170</v>
      </c>
      <c r="B8" s="97" t="inlineStr">
        <is>
          <t>Dell</t>
        </is>
      </c>
      <c r="C8" s="97" t="inlineStr">
        <is>
          <t>Server / rack delivery acceleration</t>
        </is>
      </c>
      <c r="D8" s="97" t="inlineStr">
        <is>
          <t>System-level orders/revenue/backlog surge</t>
        </is>
      </c>
      <c r="E8" s="97" t="inlineStr">
        <is>
          <t>$24.4B AI orders; $16.1B AI server revenue; $51.3B AI backlog</t>
        </is>
      </c>
      <c r="F8" s="55" t="n">
        <v>1</v>
      </c>
      <c r="G8" s="55" t="n">
        <v>4</v>
      </c>
      <c r="H8" s="97" t="n">
        <v>569.47</v>
      </c>
      <c r="I8" s="109" t="n">
        <v>46195</v>
      </c>
      <c r="J8" s="97" t="n">
        <v>655.01</v>
      </c>
      <c r="K8" s="98">
        <f>I8-A8</f>
        <v/>
      </c>
      <c r="L8" s="99">
        <f>J8/H8-1</f>
        <v/>
      </c>
      <c r="M8" s="84" t="inlineStr"/>
      <c r="N8" s="97" t="inlineStr">
        <is>
          <t>Orange: racks are flowing while physical capacity is lagging</t>
        </is>
      </c>
      <c r="O8" s="92" t="inlineStr">
        <is>
          <t>https://investors.delltechnologies.com/news-releases/news-release-details/dell-technologies-delivers-first-quarter-fiscal-2027-financial</t>
        </is>
      </c>
      <c r="P8" s="97" t="inlineStr">
        <is>
          <t>Pipeline remained multiples of backlog; memory still cited as a constraint.</t>
        </is>
      </c>
    </row>
    <row r="9">
      <c r="A9" s="109" t="n">
        <v>46175</v>
      </c>
      <c r="B9" s="97" t="inlineStr">
        <is>
          <t>Wall Street Journal / JPMorgan</t>
        </is>
      </c>
      <c r="C9" s="97" t="inlineStr">
        <is>
          <t>Power / construction slippage</t>
        </is>
      </c>
      <c r="D9" s="97" t="inlineStr">
        <is>
          <t>Construction-delay story moved from research signal into broad market view</t>
        </is>
      </c>
      <c r="E9" s="97" t="inlineStr">
        <is>
          <t>&gt;60% 2027 capacity not started; 7% delayed; power and long-lead equipment bottlenecks</t>
        </is>
      </c>
      <c r="F9" s="55" t="n">
        <v>0</v>
      </c>
      <c r="G9" s="55" t="n">
        <v>4</v>
      </c>
      <c r="H9" s="97" t="n">
        <v>605.02</v>
      </c>
      <c r="I9" s="109" t="n">
        <v>46195</v>
      </c>
      <c r="J9" s="97" t="n">
        <v>655.01</v>
      </c>
      <c r="K9" s="98">
        <f>I9-A9</f>
        <v/>
      </c>
      <c r="L9" s="99">
        <f>J9/H9-1</f>
        <v/>
      </c>
      <c r="M9" s="84" t="inlineStr"/>
      <c r="N9" s="97" t="inlineStr">
        <is>
          <t>Orange/Red watch: constraint narrative is now public and close to equity peak</t>
        </is>
      </c>
      <c r="O9" s="92" t="inlineStr">
        <is>
          <t>https://www.wsj.com/tech/ai/americas-data-center-build-out-is-falling-way-behind-schedule-e408a9a8</t>
        </is>
      </c>
      <c r="P9" s="97" t="inlineStr">
        <is>
          <t>Same underlying JPMorgan dataset; category flag = 0 to avoid double counting.</t>
        </is>
      </c>
    </row>
    <row r="10">
      <c r="A10" s="109" t="n">
        <v>46191</v>
      </c>
      <c r="B10" s="97" t="inlineStr">
        <is>
          <t>FERC</t>
        </is>
      </c>
      <c r="C10" s="97" t="inlineStr">
        <is>
          <t>System / regulatory intervention</t>
        </is>
      </c>
      <c r="D10" s="97" t="inlineStr">
        <is>
          <t>All six RTO/ISOs ordered to justify or reform large-load interconnection rules</t>
        </is>
      </c>
      <c r="E10" s="97" t="inlineStr">
        <is>
          <t>FERC said speed-to-power needed; existing rules across much of country not good enough</t>
        </is>
      </c>
      <c r="F10" s="55" t="n">
        <v>1</v>
      </c>
      <c r="G10" s="55" t="n">
        <v>5</v>
      </c>
      <c r="H10" s="97" t="n">
        <v>639.45</v>
      </c>
      <c r="I10" s="109" t="n">
        <v>46195</v>
      </c>
      <c r="J10" s="97" t="n">
        <v>655.01</v>
      </c>
      <c r="K10" s="98">
        <f>I10-A10</f>
        <v/>
      </c>
      <c r="L10" s="99">
        <f>J10/H10-1</f>
        <v/>
      </c>
      <c r="M10" s="84" t="inlineStr"/>
      <c r="N10" s="97" t="inlineStr">
        <is>
          <t>RED: system-level confirmation that power integration is failing the required pace</t>
        </is>
      </c>
      <c r="O10" s="92" t="inlineStr">
        <is>
          <t>https://www.ferc.gov/news-events/news/ferc-launches-aggressive-targeted-action-speed-large-load-integration</t>
        </is>
      </c>
      <c r="P10" s="97" t="inlineStr">
        <is>
          <t>Four calendar days before SOXX peak.</t>
        </is>
      </c>
    </row>
    <row r="11">
      <c r="A11" s="109" t="n">
        <v>46195</v>
      </c>
      <c r="B11" s="97" t="inlineStr">
        <is>
          <t>SOXX</t>
        </is>
      </c>
      <c r="C11" s="97" t="inlineStr">
        <is>
          <t>Peak</t>
        </is>
      </c>
      <c r="D11" s="97" t="inlineStr">
        <is>
          <t>Semiconductor cycle peak</t>
        </is>
      </c>
      <c r="E11" s="97" t="inlineStr">
        <is>
          <t>Close 655.01; intraday high 655.95</t>
        </is>
      </c>
      <c r="F11" s="55" t="n">
        <v>0</v>
      </c>
      <c r="G11" s="55" t="n">
        <v>5</v>
      </c>
      <c r="H11" s="97" t="n">
        <v>655.01</v>
      </c>
      <c r="I11" s="109" t="n">
        <v>46195</v>
      </c>
      <c r="J11" s="97" t="n">
        <v>655.01</v>
      </c>
      <c r="K11" s="98">
        <f>I11-A11</f>
        <v/>
      </c>
      <c r="L11" s="99">
        <f>J11/H11-1</f>
        <v/>
      </c>
      <c r="M11" s="84" t="inlineStr"/>
      <c r="N11" s="97" t="inlineStr">
        <is>
          <t>Peak reached</t>
        </is>
      </c>
      <c r="O11" s="92" t="inlineStr">
        <is>
          <t>https://ca.finance.yahoo.com/quote/SOXX/history/</t>
        </is>
      </c>
      <c r="P11" s="97" t="inlineStr">
        <is>
          <t>Subsequent 3-month performance was materially lower; use as cycle reference, not a causal claim.</t>
        </is>
      </c>
    </row>
    <row r="14">
      <c r="A14" s="58" t="inlineStr">
        <is>
          <t>CURRENT CYCLE SNAPSHOT — AS OF SEP 4, 2026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</row>
    <row r="15" ht="34" customHeight="1">
      <c r="A15" s="79" t="inlineStr">
        <is>
          <t>Date</t>
        </is>
      </c>
      <c r="B15" s="79" t="inlineStr">
        <is>
          <t>Source / company</t>
        </is>
      </c>
      <c r="C15" s="79" t="inlineStr">
        <is>
          <t>Category</t>
        </is>
      </c>
      <c r="D15" s="79" t="inlineStr">
        <is>
          <t>Signal</t>
        </is>
      </c>
      <c r="E15" s="79" t="inlineStr">
        <is>
          <t>Metric</t>
        </is>
      </c>
      <c r="F15" s="79" t="inlineStr">
        <is>
          <t>Category flag</t>
        </is>
      </c>
      <c r="G15" s="79" t="inlineStr">
        <is>
          <t>Current score</t>
        </is>
      </c>
      <c r="H15" s="79" t="inlineStr">
        <is>
          <t>SOXX / status</t>
        </is>
      </c>
      <c r="I15" s="79" t="inlineStr">
        <is>
          <t>Power delivery clock</t>
        </is>
      </c>
      <c r="J15" s="79" t="inlineStr">
        <is>
          <t>Chip delivery clock</t>
        </is>
      </c>
      <c r="K15" s="79" t="inlineStr">
        <is>
          <t>Risk read</t>
        </is>
      </c>
      <c r="L15" s="79" t="inlineStr">
        <is>
          <t>Action use</t>
        </is>
      </c>
      <c r="M15" s="79" t="inlineStr">
        <is>
          <t>Source URL</t>
        </is>
      </c>
      <c r="N15" s="79" t="inlineStr">
        <is>
          <t>Notes</t>
        </is>
      </c>
      <c r="O15" s="79" t="inlineStr"/>
      <c r="P15" s="79" t="inlineStr"/>
    </row>
    <row r="16">
      <c r="A16" s="109" t="n">
        <v>46232</v>
      </c>
      <c r="B16" s="97" t="inlineStr">
        <is>
          <t>Vertiv</t>
        </is>
      </c>
      <c r="C16" s="97" t="inlineStr">
        <is>
          <t>Electrical / cooling execution</t>
        </is>
      </c>
      <c r="D16" s="97" t="inlineStr">
        <is>
          <t>Q2 revenue timing had minor shifts from supply-chain congestion and multi-phased deployment</t>
        </is>
      </c>
      <c r="E16" s="97" t="inlineStr">
        <is>
          <t>Sales +24% YoY; FY26 organic sales guide 31%</t>
        </is>
      </c>
      <c r="F16" s="100" t="n">
        <v>0</v>
      </c>
      <c r="G16" s="100">
        <f>F16</f>
        <v/>
      </c>
      <c r="H16" s="97" t="inlineStr">
        <is>
          <t>SOXX remains well below Jun-22 peak</t>
        </is>
      </c>
      <c r="I16" s="97" t="inlineStr">
        <is>
          <t>See Power Deliveries</t>
        </is>
      </c>
      <c r="J16" s="97" t="inlineStr">
        <is>
          <t>See Hardware Deliveries</t>
        </is>
      </c>
      <c r="K16" s="97" t="inlineStr">
        <is>
          <t>Physical execution still tight, but projects continue</t>
        </is>
      </c>
      <c r="L16" s="97" t="inlineStr">
        <is>
          <t>Use as current sell-clock input</t>
        </is>
      </c>
      <c r="M16" s="92" t="inlineStr">
        <is>
          <t>https://investors.vertiv.com/news/news-details/2026/Vertiv-Reports-Strong-Second-Quarter-2026-with-Diluted-EPS-Growth-of-53-Adjusted-Diluted-EPS-Growth-of-60-Raises-Full-Year-2026-Guidance-Across-All-Key-Metrics/default.aspx</t>
        </is>
      </c>
      <c r="N16" s="97" t="inlineStr">
        <is>
          <t>Independent-category scoring; do not double count repeated commentary</t>
        </is>
      </c>
      <c r="O16" s="97" t="inlineStr"/>
      <c r="P16" s="97" t="inlineStr"/>
    </row>
    <row r="17">
      <c r="A17" s="109" t="n">
        <v>46234</v>
      </c>
      <c r="B17" s="97" t="inlineStr">
        <is>
          <t>Eaton</t>
        </is>
      </c>
      <c r="C17" s="97" t="inlineStr">
        <is>
          <t>Power/electrical pipeline</t>
        </is>
      </c>
      <c r="D17" s="97" t="inlineStr">
        <is>
          <t>Electrical orders and backlog remain elevated</t>
        </is>
      </c>
      <c r="E17" s="97" t="inlineStr">
        <is>
          <t>Electrical Americas rolling orders +41%; Electrical-sector backlog +43% YoY</t>
        </is>
      </c>
      <c r="F17" s="100" t="n">
        <v>0</v>
      </c>
      <c r="G17" s="100">
        <f>G16+F17</f>
        <v/>
      </c>
      <c r="H17" s="97" t="inlineStr">
        <is>
          <t>SOXX remains well below Jun-22 peak</t>
        </is>
      </c>
      <c r="I17" s="97" t="inlineStr">
        <is>
          <t>See Power Deliveries</t>
        </is>
      </c>
      <c r="J17" s="97" t="inlineStr">
        <is>
          <t>See Hardware Deliveries</t>
        </is>
      </c>
      <c r="K17" s="97" t="inlineStr">
        <is>
          <t>Denominator is still expanding aggressively</t>
        </is>
      </c>
      <c r="L17" s="97" t="inlineStr">
        <is>
          <t>Use as current sell-clock input</t>
        </is>
      </c>
      <c r="M17" s="92" t="inlineStr">
        <is>
          <t>https://www.eaton.com/us/en-us/company/news-insights/news-releases/2026/eaton-reports-record-second-quarter-2026-results.html</t>
        </is>
      </c>
      <c r="N17" s="97" t="inlineStr">
        <is>
          <t>Independent-category scoring; do not double count repeated commentary</t>
        </is>
      </c>
      <c r="O17" s="97" t="inlineStr"/>
      <c r="P17" s="97" t="inlineStr"/>
    </row>
    <row r="18">
      <c r="A18" s="109" t="n">
        <v>46260</v>
      </c>
      <c r="B18" s="97" t="inlineStr">
        <is>
          <t>NVIDIA</t>
        </is>
      </c>
      <c r="C18" s="97" t="inlineStr">
        <is>
          <t>Chip revenue acceleration</t>
        </is>
      </c>
      <c r="D18" s="97" t="inlineStr">
        <is>
          <t>Vera Rubin in full production; POs from every major hyperscaler / AI cloud / system OEM</t>
        </is>
      </c>
      <c r="E18" s="97" t="inlineStr">
        <is>
          <t>$89.0B Data Center revenue; Rubin production shipments commenced in Aug</t>
        </is>
      </c>
      <c r="F18" s="100" t="n">
        <v>1</v>
      </c>
      <c r="G18" s="100">
        <f>G17+F18</f>
        <v/>
      </c>
      <c r="H18" s="97" t="inlineStr">
        <is>
          <t>SOXX remains well below Jun-22 peak</t>
        </is>
      </c>
      <c r="I18" s="97" t="inlineStr">
        <is>
          <t>See Power Deliveries</t>
        </is>
      </c>
      <c r="J18" s="97" t="inlineStr">
        <is>
          <t>See Hardware Deliveries</t>
        </is>
      </c>
      <c r="K18" s="97" t="inlineStr">
        <is>
          <t>Numerator is very strong</t>
        </is>
      </c>
      <c r="L18" s="97" t="inlineStr">
        <is>
          <t>Use as current sell-clock input</t>
        </is>
      </c>
      <c r="M18" s="92" t="inlineStr">
        <is>
          <t>https://investor.nvidia.com/news/press-release-details/2026/NVIDIA-Announces-Financial-Results-for-Second-Quarter-Fiscal-2027/default.aspx</t>
        </is>
      </c>
      <c r="N18" s="97" t="inlineStr">
        <is>
          <t>Independent-category scoring; do not double count repeated commentary</t>
        </is>
      </c>
      <c r="O18" s="97" t="inlineStr"/>
      <c r="P18" s="97" t="inlineStr"/>
    </row>
    <row r="19">
      <c r="A19" s="109" t="n">
        <v>46266</v>
      </c>
      <c r="B19" s="97" t="inlineStr">
        <is>
          <t>Dell</t>
        </is>
      </c>
      <c r="C19" s="97" t="inlineStr">
        <is>
          <t>Server / rack delivery acceleration</t>
        </is>
      </c>
      <c r="D19" s="97" t="inlineStr">
        <is>
          <t>AI system orders accelerated again</t>
        </is>
      </c>
      <c r="E19" s="97" t="inlineStr">
        <is>
          <t>$60.9B AI orders; $16.4B AI server revenue; reported $95B backlog in call</t>
        </is>
      </c>
      <c r="F19" s="100" t="n">
        <v>1</v>
      </c>
      <c r="G19" s="100">
        <f>G18+F19</f>
        <v/>
      </c>
      <c r="H19" s="97" t="inlineStr">
        <is>
          <t>SOXX remains well below Jun-22 peak</t>
        </is>
      </c>
      <c r="I19" s="97" t="inlineStr">
        <is>
          <t>See Power Deliveries</t>
        </is>
      </c>
      <c r="J19" s="97" t="inlineStr">
        <is>
          <t>See Hardware Deliveries</t>
        </is>
      </c>
      <c r="K19" s="97" t="inlineStr">
        <is>
          <t>System monetization is late-stage for current tranche</t>
        </is>
      </c>
      <c r="L19" s="97" t="inlineStr">
        <is>
          <t>Use as current sell-clock input</t>
        </is>
      </c>
      <c r="M19" s="92" t="inlineStr">
        <is>
          <t>https://investors.delltechnologies.com/static-files/a24f97e4-63b2-460d-a4be-44738826e8ce</t>
        </is>
      </c>
      <c r="N19" s="97" t="inlineStr">
        <is>
          <t>Independent-category scoring; do not double count repeated commentary</t>
        </is>
      </c>
      <c r="O19" s="97" t="inlineStr"/>
      <c r="P19" s="97" t="inlineStr"/>
    </row>
    <row r="20">
      <c r="A20" s="109" t="n">
        <v>46266</v>
      </c>
      <c r="B20" s="97" t="inlineStr">
        <is>
          <t>Caterpillar / AIP</t>
        </is>
      </c>
      <c r="C20" s="97" t="inlineStr">
        <is>
          <t>New power tranche</t>
        </is>
      </c>
      <c r="D20" s="97" t="inlineStr">
        <is>
          <t>2 GW Monarch equipment delivery window begins</t>
        </is>
      </c>
      <c r="E20" s="97" t="inlineStr">
        <is>
          <t>2 GW gensets scheduled Sep-26 through Aug-27; 2 GW online in 2027</t>
        </is>
      </c>
      <c r="F20" s="100" t="n">
        <v>0</v>
      </c>
      <c r="G20" s="100">
        <f>G19+F20</f>
        <v/>
      </c>
      <c r="H20" s="97" t="inlineStr">
        <is>
          <t>SOXX remains well below Jun-22 peak</t>
        </is>
      </c>
      <c r="I20" s="97" t="inlineStr">
        <is>
          <t>See Power Deliveries</t>
        </is>
      </c>
      <c r="J20" s="97" t="inlineStr">
        <is>
          <t>See Hardware Deliveries</t>
        </is>
      </c>
      <c r="K20" s="97" t="inlineStr">
        <is>
          <t>Next denominator tranche is beginning to physically arrive</t>
        </is>
      </c>
      <c r="L20" s="97" t="inlineStr">
        <is>
          <t>Use as current sell-clock input</t>
        </is>
      </c>
      <c r="M20" s="92" t="inlineStr">
        <is>
          <t>https://investors.caterpillar.com/news/news-details/2026/American-Intelligence--Power-Forms-Strategic-Alliance-with-Caterpillar-and-Boyd-CAT-to-Deploy-2-Gigawatts-of-Dedicated-Power-for-Hyperscale-AI-Infrastructure/default.aspx</t>
        </is>
      </c>
      <c r="N20" s="97" t="inlineStr">
        <is>
          <t>Independent-category scoring; do not double count repeated commentary</t>
        </is>
      </c>
      <c r="O20" s="97" t="inlineStr"/>
      <c r="P20" s="97" t="inlineStr"/>
    </row>
    <row r="23">
      <c r="A23" s="58" t="inlineStr">
        <is>
          <t>SELL-SCORE INTERPRETATION</t>
        </is>
      </c>
      <c r="B23" s="102" t="n"/>
      <c r="C23" s="102" t="n"/>
      <c r="D23" s="102" t="n"/>
      <c r="E23" s="102" t="n"/>
      <c r="F23" s="102" t="n"/>
      <c r="G23" s="102" t="n"/>
      <c r="H23" s="102" t="n"/>
    </row>
    <row r="24">
      <c r="A24" s="67" t="inlineStr">
        <is>
          <t>0–1</t>
        </is>
      </c>
      <c r="B24" s="101" t="inlineStr">
        <is>
          <t>No sell signal</t>
        </is>
      </c>
      <c r="C24" s="68" t="inlineStr">
        <is>
          <t>Power/build is keeping pace or hardware is not yet accelerating.</t>
        </is>
      </c>
    </row>
    <row r="25">
      <c r="A25" s="67" t="inlineStr">
        <is>
          <t>2</t>
        </is>
      </c>
      <c r="B25" s="101" t="inlineStr">
        <is>
          <t>Watch</t>
        </is>
      </c>
      <c r="C25" s="68" t="inlineStr">
        <is>
          <t>One side of the mismatch is visible; do not exit on this alone.</t>
        </is>
      </c>
    </row>
    <row r="26">
      <c r="A26" s="67" t="inlineStr">
        <is>
          <t>3</t>
        </is>
      </c>
      <c r="B26" s="101" t="inlineStr">
        <is>
          <t>Trim / stop adding</t>
        </is>
      </c>
      <c r="C26" s="68" t="inlineStr">
        <is>
          <t>Independent power constraint + hardware acceleration are converging.</t>
        </is>
      </c>
    </row>
    <row r="27">
      <c r="A27" s="67" t="inlineStr">
        <is>
          <t>4</t>
        </is>
      </c>
      <c r="B27" s="101" t="inlineStr">
        <is>
          <t>Reduce tactical exposure</t>
        </is>
      </c>
      <c r="C27" s="68" t="inlineStr">
        <is>
          <t>Hardware delivery materially outruns visible power/build readiness.</t>
        </is>
      </c>
    </row>
    <row r="28">
      <c r="A28" s="67" t="inlineStr">
        <is>
          <t>5</t>
        </is>
      </c>
      <c r="B28" s="101" t="inlineStr">
        <is>
          <t>Exit / protect gains</t>
        </is>
      </c>
      <c r="C28" s="68" t="inlineStr">
        <is>
          <t>System-level intervention confirms power is the binding constraint again.</t>
        </is>
      </c>
    </row>
  </sheetData>
  <mergeCells count="9">
    <mergeCell ref="C25:H25"/>
    <mergeCell ref="C24:H24"/>
    <mergeCell ref="A14:P14"/>
    <mergeCell ref="C28:H28"/>
    <mergeCell ref="A1:P1"/>
    <mergeCell ref="C27:H27"/>
    <mergeCell ref="C26:H26"/>
    <mergeCell ref="A23:H23"/>
    <mergeCell ref="A2:P2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M16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19" r:id="rId11"/>
    <hyperlink xmlns:r="http://schemas.openxmlformats.org/officeDocument/2006/relationships" ref="M20" r:id="rId12"/>
  </hyperlinks>
  <pageMargins left="0.25" right="0.25" top="0.5" bottom="0.5" header="0.5" footer="0.5"/>
  <pageSetup fitToHeight="0" fitToWidth="1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2026-09-05T04:34:22Z</dcterms:created>
  <dcterms:modified xmlns:dcterms="http://purl.org/dc/terms/" xmlns:xsi="http://www.w3.org/2001/XMLSchema-instance" xsi:type="dcterms:W3CDTF">2026-09-05T05:02:14Z</dcterms:modified>
</cp:coreProperties>
</file>